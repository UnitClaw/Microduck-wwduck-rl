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2f046c2a0b4cd7" /></Relationships>
</file>

<file path=xl/workbook.xml><?xml version="1.0" encoding="utf-8"?>
<x:workbook xmlns:x="http://schemas.openxmlformats.org/spreadsheetml/2006/main">
  <x:sheets>
    <x:sheet xmlns:r="http://schemas.openxmlformats.org/officeDocument/2006/relationships" name="合并采购清单" sheetId="1" r:id="R5185aa29df3b4ff0"/>
    <x:sheet xmlns:r="http://schemas.openxmlformats.org/officeDocument/2006/relationships" name="HAT位号BOM" sheetId="2" r:id="R1e0c935090804d56"/>
    <x:sheet xmlns:r="http://schemas.openxmlformats.org/officeDocument/2006/relationships" name="IMU位号BOM" sheetId="3" r:id="Rafbe6c15f2df493b"/>
    <x:sheet xmlns:r="http://schemas.openxmlformats.org/officeDocument/2006/relationships" name="配件与耗材" sheetId="4" r:id="R6c71c2d57e3b4c34"/>
    <x:sheet xmlns:r="http://schemas.openxmlformats.org/officeDocument/2006/relationships" name="订单匹配依据" sheetId="5" r:id="Rf2731512afed47e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0"/>
  </x:numFmts>
  <x:fonts count="6">
    <x:font>
      <x:sz val="11"/>
      <x:name val="Carlito"/>
    </x:font>
    <x:font>
      <x:sz val="10"/>
      <x:color rgb="FF203047"/>
      <x:name val="Noto Sans CJK SC"/>
    </x:font>
    <x:font>
      <x:b/>
      <x:sz val="16"/>
      <x:color rgb="FF263858"/>
      <x:name val="Noto Sans CJK SC"/>
    </x:font>
    <x:font>
      <x:sz val="10"/>
      <x:color rgb="FF607086"/>
      <x:name val="Noto Sans CJK SC"/>
    </x:font>
    <x:font>
      <x:b/>
      <x:sz val="10"/>
      <x:color rgb="FFFFFFFF"/>
      <x:name val="Noto Sans CJK SC"/>
    </x:font>
    <x:font>
      <x:u val="single"/>
      <x:sz val="10"/>
      <x:color rgb="FF145CAE"/>
      <x:name val="Noto Sans CJK SC"/>
    </x:font>
  </x:fonts>
  <x:fills count="4">
    <x:fill>
      <x:patternFill patternType="none"/>
    </x:fill>
    <x:fill>
      <x:patternFill patternType="gray125"/>
    </x:fill>
    <x:fill>
      <x:patternFill patternType="solid">
        <x:fgColor rgb="FF263858"/>
      </x:patternFill>
    </x:fill>
    <x:fill>
      <x:patternFill patternType="solid">
        <x:fgColor rgb="FFFFF1CC"/>
      </x:patternFill>
    </x:fill>
  </x:fills>
  <x:borders count="5">
    <x:border>
      <x:left/>
      <x:right/>
      <x:top/>
      <x:bottom/>
      <x:diagonal/>
    </x:border>
    <x:border>
      <x:left/>
      <x:right/>
      <x:top/>
      <x:bottom style="thin">
        <x:color rgb="FFAEBAD0"/>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horizontal="left" vertical="center"/>
    </x:xf>
    <x:xf numFmtId="0" fontId="2" fillId="0" borderId="0" xfId="0" applyNumberFormat="1" applyFont="1" applyFill="1" applyBorder="1" applyAlignment="1">
      <x:alignment horizontal="left" vertical="center"/>
    </x:xf>
    <x:xf numFmtId="0" fontId="2" fillId="0" borderId="1" xfId="0" applyNumberFormat="1" applyFont="1" applyFill="1" applyBorder="1" applyAlignment="1">
      <x:alignment horizontal="left" vertical="center"/>
    </x:xf>
    <x:xf numFmtId="0" fontId="1" fillId="0" borderId="1" xfId="0" applyNumberFormat="1" applyFont="1" applyFill="1" applyBorder="1" applyAlignment="1">
      <x:alignment horizontal="left" vertical="center"/>
    </x:xf>
    <x:xf numFmtId="0" fontId="3" fillId="0" borderId="0" xfId="0" applyNumberFormat="1" applyFont="1" applyFill="1" applyBorder="1" applyAlignment="1">
      <x:alignment horizontal="left" vertical="center"/>
    </x:xf>
    <x:xf numFmtId="0" fontId="1" fillId="2" borderId="0" xfId="0" applyNumberFormat="1" applyFont="1" applyFill="1" applyBorder="1" applyAlignment="1">
      <x:alignment horizontal="left" vertical="center"/>
    </x:xf>
    <x:xf numFmtId="0" fontId="4" fillId="2" borderId="0" xfId="0" applyNumberFormat="1" applyFont="1" applyFill="1" applyBorder="1" applyAlignment="1">
      <x:alignment horizontal="left" vertical="center"/>
    </x:xf>
    <x:xf numFmtId="0" fontId="4" fillId="2" borderId="2" xfId="0" applyNumberFormat="1" applyFont="1" applyFill="1" applyBorder="1" applyAlignment="1">
      <x:alignment horizontal="left" vertical="center"/>
    </x:xf>
    <x:xf numFmtId="0" fontId="4" fillId="2" borderId="3" xfId="0" applyNumberFormat="1" applyFont="1" applyFill="1" applyBorder="1" applyAlignment="1">
      <x:alignment horizontal="left" vertical="center"/>
    </x:xf>
    <x:xf numFmtId="0" fontId="4" fillId="2" borderId="4" xfId="0" applyNumberFormat="1" applyFont="1" applyFill="1" applyBorder="1" applyAlignment="1">
      <x:alignment horizontal="left" vertical="center"/>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4" fillId="2" borderId="4" xfId="0" applyNumberFormat="1" applyFont="1" applyFill="1" applyBorder="1" applyAlignment="1">
      <x:alignment horizontal="lef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horizontal="left" vertical="center"/>
    </x:xf>
    <x:xf numFmtId="200" fontId="1" fillId="3" borderId="0" xfId="0" applyNumberFormat="1" applyFont="1" applyFill="1" applyBorder="1" applyAlignment="1">
      <x:alignment horizontal="left" vertical="center"/>
    </x:xf>
    <x:xf numFmtId="0" fontId="5" fillId="0" borderId="0" xfId="0" applyNumberFormat="1" applyFont="1" applyFill="1" applyBorder="1" applyAlignment="1">
      <x:alignment horizontal="left" vertical="center"/>
    </x:xf>
    <x:xf numFmtId="0" fontId="1" fillId="0" borderId="0" xfId="0" applyNumberFormat="1" applyFont="1" applyFill="1" applyBorder="1" applyAlignment="1">
      <x:alignment horizontal="left" vertical="center" wrapText="1"/>
    </x:xf>
    <x:xf numFmtId="200" fontId="1" fillId="0" borderId="0" xfId="0" applyNumberFormat="1" applyFont="1" applyFill="1" applyBorder="1" applyAlignment="1">
      <x:alignment horizontal="left" vertical="center"/>
    </x:xf>
    <x:xf numFmtId="200" fontId="1" fillId="0" borderId="0" xfId="0" applyNumberFormat="1" applyFont="1" applyFill="1" applyBorder="1" applyAlignment="1">
      <x:alignment horizontal="right" vertical="center"/>
    </x:xf>
    <x:xf numFmtId="0" fontId="1" fillId="0" borderId="0" xfId="0" applyNumberFormat="1" applyFont="1" applyFill="1" applyBorder="1" applyAlignment="1">
      <x:alignment horizontal="right" vertical="center"/>
    </x:xf>
    <x:xf numFmtId="201" fontId="1" fillId="0" borderId="0" xfId="0" applyNumberFormat="1" applyFont="1" applyFill="1" applyBorder="1" applyAlignment="1">
      <x:alignment horizontal="left" vertical="center"/>
    </x:xf>
    <x:xf numFmtId="202" fontId="1" fillId="0" borderId="0" xfId="0" applyNumberFormat="1" applyFont="1" applyFill="1" applyBorder="1" applyAlignment="1">
      <x:alignment horizontal="left" vertical="center"/>
    </x:xf>
    <x:xf numFmtId="202" fontId="1" fillId="0" borderId="0" xfId="0" applyNumberFormat="1" applyFont="1" applyFill="1" applyBorder="1" applyAlignment="1">
      <x:alignment horizontal="right" vertical="center"/>
    </x:xf>
  </x:cellXfs>
  <x:cellStyles count="1">
    <x:cellStyle name="Normal" xfId="0"/>
  </x:cellStyles>
  <x:dxfs count="9">
    <x:dxf>
      <x:font>
        <x:color rgb="FF8B4608"/>
      </x:font>
      <x:fill>
        <x:patternFill>
          <x:bgColor rgb="FFFFF1CC"/>
        </x:patternFill>
      </x:fill>
    </x:dxf>
    <x:dxf>
      <x:font>
        <x:b/>
        <x:color rgb="FF8B4608"/>
      </x:font>
      <x:fill>
        <x:patternFill>
          <x:bgColor rgb="FFFFF1CC"/>
        </x:patternFill>
      </x:fill>
    </x:dxf>
    <x:dxf>
      <x:font>
        <x:color rgb="FF8B4608"/>
      </x:font>
      <x:fill>
        <x:patternFill>
          <x:bgColor rgb="FFFFF1CC"/>
        </x:patternFill>
      </x:fill>
    </x:dxf>
    <x:dxf>
      <x:font>
        <x:color rgb="FF8B4608"/>
      </x:font>
      <x:fill>
        <x:patternFill>
          <x:bgColor rgb="FFFFF1CC"/>
        </x:patternFill>
      </x:fill>
    </x:dxf>
    <x:dxf>
      <x:font>
        <x:b/>
        <x:color rgb="FF8B4608"/>
      </x:font>
      <x:fill>
        <x:patternFill>
          <x:bgColor rgb="FFFFF1CC"/>
        </x:patternFill>
      </x:fill>
    </x:dxf>
    <x:dxf>
      <x:font>
        <x:color rgb="FF8B4608"/>
      </x:font>
      <x:fill>
        <x:patternFill>
          <x:bgColor rgb="FFFFF1CC"/>
        </x:patternFill>
      </x:fill>
    </x:dxf>
    <x:dxf>
      <x:font>
        <x:color rgb="FF8B4608"/>
      </x:font>
      <x:fill>
        <x:patternFill>
          <x:bgColor rgb="FFFFF1CC"/>
        </x:patternFill>
      </x:fill>
    </x:dxf>
    <x:dxf>
      <x:font>
        <x:b/>
        <x:color rgb="FF8B4608"/>
      </x:font>
      <x:fill>
        <x:patternFill>
          <x:bgColor rgb="FFFFF1CC"/>
        </x:patternFill>
      </x:fill>
    </x:dxf>
    <x:dxf>
      <x:font>
        <x:color rgb="FF8B4608"/>
      </x:font>
      <x:fill>
        <x:patternFill>
          <x:bgColor rgb="FFFFF1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9f0c60405cd41cb" /><Relationship Type="http://schemas.openxmlformats.org/officeDocument/2006/relationships/theme" Target="/xl/theme/theme1.xml" Id="R070b8204b3a6439b" /><Relationship Type="http://schemas.openxmlformats.org/officeDocument/2006/relationships/sharedStrings" Target="/xl/sharedStrings.xml" Id="R7969b6a668ec4bbe" /><Relationship Type="http://schemas.openxmlformats.org/officeDocument/2006/relationships/worksheet" Target="/xl/worksheets/sheet1.xml" Id="R5185aa29df3b4ff0" /><Relationship Type="http://schemas.openxmlformats.org/officeDocument/2006/relationships/worksheet" Target="/xl/worksheets/sheet2.xml" Id="R1e0c935090804d56" /><Relationship Type="http://schemas.openxmlformats.org/officeDocument/2006/relationships/worksheet" Target="/xl/worksheets/sheet3.xml" Id="Rafbe6c15f2df493b" /><Relationship Type="http://schemas.openxmlformats.org/officeDocument/2006/relationships/worksheet" Target="/xl/worksheets/sheet4.xml" Id="R6c71c2d57e3b4c34" /><Relationship Type="http://schemas.openxmlformats.org/officeDocument/2006/relationships/worksheet" Target="/xl/worksheets/sheet5.xml" Id="Rf2731512afed47e9" /></Relationships>
</file>

<file path=xl/tables/table1.xml><?xml version="1.0" encoding="utf-8"?>
<x:table xmlns:x="http://schemas.openxmlformats.org/spreadsheetml/2006/main" id="6" name="Procurement" displayName="Procurement" ref="A8:O54" headerRowCount="1" totalsRowCount="0" totalsRowShown="0">
  <x:autoFilter ref="A8:O54"/>
  <x:tableColumns count="15">
    <x:tableColumn id="1" name="类别"/>
    <x:tableColumn id="2" name="BOM指定型号 / 当前用料"/>
    <x:tableColumn id="3" name="封装与关键规格"/>
    <x:tableColumn id="4" name="HAT单板(个)"/>
    <x:tableColumn id="5" name="IMU单板(个)"/>
    <x:tableColumn id="6" name="本次需求(个)"/>
    <x:tableColumn id="7" name="HAT位号"/>
    <x:tableColumn id="8" name="IMU位号"/>
    <x:tableColumn id="9" name="订单店铺"/>
    <x:tableColumn id="10" name="订单商品链接"/>
    <x:tableColumn id="11" name="必须选择的订单款式"/>
    <x:tableColumn id="12" name="每拍含量(个)"/>
    <x:tableColumn id="13" name="按此款式最少拍数"/>
    <x:tableColumn id="14" name="BOM型号购买链接"/>
    <x:tableColumn id="15" name="差异与下单说明"/>
  </x:tableColumns>
  <x:tableStyleInfo name="TableStyleLight1" showFirstColumn="0" showLastColumn="0" showRowStripes="1" showColumnStripes="0"/>
</x:table>
</file>

<file path=xl/tables/table2.xml><?xml version="1.0" encoding="utf-8"?>
<x:table xmlns:x="http://schemas.openxmlformats.org/spreadsheetml/2006/main" id="7" name="HATComponents" displayName="HATComponents" ref="A7:K91" headerRowCount="1" totalsRowCount="0" totalsRowShown="0">
  <x:autoFilter ref="A7:K91"/>
  <x:tableColumns count="11">
    <x:tableColumn id="1" name="位号"/>
    <x:tableColumn id="2" name="用途 / 位号原文"/>
    <x:tableColumn id="3" name="工程完整型号"/>
    <x:tableColumn id="4" name="工程立创料号"/>
    <x:tableColumn id="5" name="工程封装"/>
    <x:tableColumn id="6" name="工程关键参数"/>
    <x:tableColumn id="7" name="当前采购规格 / 订单款式"/>
    <x:tableColumn id="8" name="订单商品链接"/>
    <x:tableColumn id="9" name="工程BOM型号链接"/>
    <x:tableColumn id="10" name="差异或变更说明"/>
    <x:tableColumn id="11" name="工程来源"/>
  </x:tableColumns>
  <x:tableStyleInfo name="TableStyleLight1" showFirstColumn="0" showLastColumn="0" showRowStripes="1" showColumnStripes="0"/>
</x:table>
</file>

<file path=xl/tables/table3.xml><?xml version="1.0" encoding="utf-8"?>
<x:table xmlns:x="http://schemas.openxmlformats.org/spreadsheetml/2006/main" id="8" name="IMUComponents" displayName="IMUComponents" ref="A7:K32" headerRowCount="1" totalsRowCount="0" totalsRowShown="0">
  <x:autoFilter ref="A7:K32"/>
  <x:tableColumns count="11">
    <x:tableColumn id="1" name="位号"/>
    <x:tableColumn id="2" name="用途 / 位号原文"/>
    <x:tableColumn id="3" name="工程完整型号"/>
    <x:tableColumn id="4" name="工程立创料号"/>
    <x:tableColumn id="5" name="工程封装"/>
    <x:tableColumn id="6" name="工程关键参数"/>
    <x:tableColumn id="7" name="当前采购规格 / 订单款式"/>
    <x:tableColumn id="8" name="订单商品链接"/>
    <x:tableColumn id="9" name="工程BOM型号链接"/>
    <x:tableColumn id="10" name="差异或变更说明"/>
    <x:tableColumn id="11" name="工程来源"/>
  </x:tableColumns>
  <x:tableStyleInfo name="TableStyleLight1" showFirstColumn="0" showLastColumn="0" showRowStripes="1" showColumnStripes="0"/>
</x:table>
</file>

<file path=xl/tables/table4.xml><?xml version="1.0" encoding="utf-8"?>
<x:table xmlns:x="http://schemas.openxmlformats.org/spreadsheetml/2006/main" id="9" name="Accessories" displayName="Accessories" ref="A6:J26" headerRowCount="1" totalsRowCount="0" totalsRowShown="0">
  <x:autoFilter ref="A6:J26"/>
  <x:tableColumns count="10">
    <x:tableColumn id="1" name="类别"/>
    <x:tableColumn id="2" name="商品 / 用品"/>
    <x:tableColumn id="3" name="具体规格"/>
    <x:tableColumn id="4" name="用量或购买条件"/>
    <x:tableColumn id="5" name="订单店铺"/>
    <x:tableColumn id="6" name="商品链接"/>
    <x:tableColumn id="7" name="订单原款式"/>
    <x:tableColumn id="8" name="每拍含量"/>
    <x:tableColumn id="9" name="注意事项"/>
    <x:tableColumn id="10" name="订单源行"/>
  </x:tableColumns>
  <x:tableStyleInfo name="TableStyleLight1" showFirstColumn="0" showLastColumn="0" showRowStripes="1" showColumnStripes="0"/>
</x:table>
</file>

<file path=xl/tables/table5.xml><?xml version="1.0" encoding="utf-8"?>
<x:table xmlns:x="http://schemas.openxmlformats.org/spreadsheetml/2006/main" id="5" name="OrderEvidence" displayName="OrderEvidence" ref="A6:J90" headerRowCount="1" totalsRowCount="0" totalsRowShown="0">
  <x:autoFilter ref="A6:J90"/>
  <x:tableColumns count="10">
    <x:tableColumn id="1" name="订单源行"/>
    <x:tableColumn id="2" name="提交日期"/>
    <x:tableColumn id="3" name="订单状态"/>
    <x:tableColumn id="4" name="店铺"/>
    <x:tableColumn id="5" name="商品名称（原文）"/>
    <x:tableColumn id="6" name="型号款式（原文）"/>
    <x:tableColumn id="7" name="商品数量(原值)"/>
    <x:tableColumn id="8" name="商品金额(元，原字段)"/>
    <x:tableColumn id="9" name="商品链接"/>
    <x:tableColumn id="10" name="对应采购项 / 历史用途"/>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688278efb254b7e" /></Relationships>
</file>

<file path=xl/worksheets/_rels/sheet2.xml.rels>&#65279;<?xml version="1.0" encoding="utf-8"?><Relationships xmlns="http://schemas.openxmlformats.org/package/2006/relationships"><Relationship Type="http://schemas.openxmlformats.org/officeDocument/2006/relationships/table" Target="/xl/tables/table2.xml" Id="Rdff3ef36af1747b9" /></Relationships>
</file>

<file path=xl/worksheets/_rels/sheet3.xml.rels>&#65279;<?xml version="1.0" encoding="utf-8"?><Relationships xmlns="http://schemas.openxmlformats.org/package/2006/relationships"><Relationship Type="http://schemas.openxmlformats.org/officeDocument/2006/relationships/table" Target="/xl/tables/table3.xml" Id="Rbd944e1ea8264e94" /></Relationships>
</file>

<file path=xl/worksheets/_rels/sheet4.xml.rels>&#65279;<?xml version="1.0" encoding="utf-8"?><Relationships xmlns="http://schemas.openxmlformats.org/package/2006/relationships"><Relationship Type="http://schemas.openxmlformats.org/officeDocument/2006/relationships/table" Target="/xl/tables/table4.xml" Id="R9a678579e6e24bf5" /></Relationships>
</file>

<file path=xl/worksheets/_rels/sheet5.xml.rels>&#65279;<?xml version="1.0" encoding="utf-8"?><Relationships xmlns="http://schemas.openxmlformats.org/package/2006/relationships"><Relationship Type="http://schemas.openxmlformats.org/officeDocument/2006/relationships/table" Target="/xl/tables/table5.xml" Id="R0746ab6b080b4320" /></Relationships>
</file>

<file path=xl/worksheets/sheet1.xml><?xml version="1.0" encoding="utf-8"?>
<worksheet xmlns="http://schemas.openxmlformats.org/spreadsheetml/2006/main" xmlns:r="http://schemas.openxmlformats.org/officeDocument/2006/relationships">
  <sheetPr>
    <tabColor rgb="FF263858"/>
  </sheetPr>
  <sheetViews>
    <sheetView showGridLines="0" workbookViewId="0">
      <pane xSplit="2" ySplit="8" topLeftCell="C9" activePane="bottomRight" state="frozen"/>
    </sheetView>
  </sheetViews>
  <sheetFormatPr defaultRowHeight="15"/>
  <cols>
    <col min="1" max="1" width="11" hidden="0" customWidth="1"/>
    <col min="2" max="2" width="36" hidden="0" customWidth="1"/>
    <col min="3" max="3" width="43" hidden="0" customWidth="1"/>
    <col min="4" max="4" width="12" hidden="0" customWidth="1"/>
    <col min="5" max="5" width="12" hidden="0" customWidth="1"/>
    <col min="6" max="6" width="12" hidden="0" customWidth="1"/>
    <col min="7" max="7" width="38" hidden="0" customWidth="1"/>
    <col min="8" max="8" width="27" hidden="0" customWidth="1"/>
    <col min="9" max="9" width="28" hidden="0" customWidth="1"/>
    <col min="10" max="10" width="19" hidden="0" customWidth="1"/>
    <col min="11" max="11" width="49" hidden="0" customWidth="1"/>
    <col min="12" max="12" width="13" hidden="0" customWidth="1"/>
    <col min="13" max="13" width="21" hidden="0" customWidth="1"/>
    <col min="14" max="14" width="21" hidden="0" customWidth="1"/>
    <col min="15" max="15" width="65" hidden="0" customWidth="1"/>
    <col min="16" max="16" width="21" hidden="0" customWidth="1"/>
    <col min="17" max="17" width="65" hidden="0" customWidth="1"/>
  </cols>
  <sheetData>
    <row r="1" ht="24" customHeight="1">
      <c r="A1" s="3"/>
      <c r="B1" s="3"/>
      <c r="C1" s="3"/>
      <c r="D1" s="3"/>
      <c r="E1" s="3"/>
      <c r="F1" s="3"/>
      <c r="G1" s="3"/>
      <c r="H1" s="3"/>
      <c r="I1" s="3"/>
      <c r="J1" s="3"/>
      <c r="K1" s="3"/>
      <c r="L1" s="3"/>
      <c r="M1" s="3"/>
      <c r="N1" s="3"/>
      <c r="O1" s="3"/>
      <c r="P1"/>
      <c r="Q1"/>
    </row>
    <row r="2" ht="30" customHeight="1">
      <c r="A2" s="5" t="str">
        <v>Microduck HAT + IMU 详细采购清单</v>
      </c>
      <c r="B2" s="6"/>
      <c r="C2" s="6"/>
      <c r="D2" s="6"/>
      <c r="E2" s="6"/>
      <c r="F2" s="6"/>
      <c r="G2" s="6"/>
      <c r="H2" s="6"/>
      <c r="I2" s="6"/>
      <c r="J2" s="6"/>
      <c r="K2" s="6"/>
      <c r="L2" s="6"/>
      <c r="M2" s="6"/>
      <c r="N2" s="6"/>
      <c r="O2" s="6"/>
      <c r="P2"/>
      <c r="Q2"/>
    </row>
    <row r="3" ht="24" customHeight="1">
      <c r="A3" s="7" t="str">
        <v>2026-10-13  |  HAT-V5（含后续用料记录）+ IMU-TO-DLX-V2</v>
      </c>
      <c r="B3" s="3"/>
      <c r="C3" s="3"/>
      <c r="D3" s="3"/>
      <c r="E3" s="3"/>
      <c r="F3" s="3"/>
      <c r="G3" s="3"/>
      <c r="H3" s="3"/>
      <c r="I3" s="3"/>
      <c r="J3" s="3"/>
      <c r="K3" s="3"/>
      <c r="L3" s="3"/>
      <c r="M3" s="3"/>
      <c r="N3" s="3"/>
      <c r="O3" s="3"/>
      <c r="P3"/>
      <c r="Q3"/>
    </row>
    <row r="4" ht="24" customHeight="1">
      <c r="A4" s="3" t="str">
        <v>HAT块数</v>
      </c>
      <c r="B4" s="20" t="n">
        <v>1</v>
      </c>
      <c r="C4" s="3" t="str">
        <v>IMU块数</v>
      </c>
      <c r="D4" s="20" t="n">
        <v>1</v>
      </c>
      <c r="E4" s="3"/>
      <c r="F4" s="3" t="str">
        <v>器件总数</v>
      </c>
      <c r="G4" s="3"/>
      <c r="H4" s="3" t="n">
        <f>SUM(F9:F54)</f>
        <v>109</v>
      </c>
      <c r="I4" s="3"/>
      <c r="J4" s="3"/>
      <c r="K4" s="3"/>
      <c r="L4" s="3"/>
      <c r="M4" s="3"/>
      <c r="N4" s="3"/>
      <c r="O4" s="3"/>
      <c r="P4"/>
      <c r="Q4"/>
    </row>
    <row r="5" ht="24" customHeight="1">
      <c r="A5" s="3" t="str">
        <v>修改块数可重算用量。单套：HAT 84 个器件 + IMU 25 个器件。</v>
      </c>
      <c r="B5" s="3"/>
      <c r="C5" s="3"/>
      <c r="D5" s="3"/>
      <c r="E5" s="3"/>
      <c r="F5" s="3"/>
      <c r="G5" s="3"/>
      <c r="H5" s="3"/>
      <c r="I5" s="3"/>
      <c r="J5" s="3"/>
      <c r="K5" s="3"/>
      <c r="L5" s="3"/>
      <c r="M5" s="3"/>
      <c r="N5" s="3"/>
      <c r="O5" s="3"/>
      <c r="P5"/>
      <c r="Q5"/>
    </row>
    <row r="6" ht="24" customHeight="1">
      <c r="A6" s="3" t="str">
        <v>采购商品由作者确认已实测可用。按列明的商品型号和订单款式购买。</v>
      </c>
      <c r="B6" s="3"/>
      <c r="C6" s="3"/>
      <c r="D6" s="3"/>
      <c r="E6" s="3"/>
      <c r="F6" s="3"/>
      <c r="G6" s="3"/>
      <c r="H6" s="3"/>
      <c r="I6" s="3"/>
      <c r="J6" s="3"/>
      <c r="K6" s="3"/>
      <c r="L6" s="3"/>
      <c r="M6" s="3"/>
      <c r="N6" s="3"/>
      <c r="O6" s="3"/>
      <c r="P6"/>
      <c r="Q6"/>
    </row>
    <row r="7" ht="24" customHeight="1">
      <c r="A7" s="3" t="str">
        <v>R33 按 0Ω 补丁计数；TH1 按后续实机记录的 22Ω 计数。源工程原值保留在位号表。</v>
      </c>
      <c r="B7" s="3"/>
      <c r="C7" s="3"/>
      <c r="D7" s="3"/>
      <c r="E7" s="3"/>
      <c r="F7" s="3"/>
      <c r="G7" s="3"/>
      <c r="H7" s="3"/>
      <c r="I7" s="3"/>
      <c r="J7" s="3"/>
      <c r="K7" s="3"/>
      <c r="L7" s="3"/>
      <c r="M7" s="3"/>
      <c r="N7" s="3"/>
      <c r="O7" s="3"/>
      <c r="P7"/>
      <c r="Q7"/>
    </row>
    <row r="8" ht="34" customHeight="1">
      <c r="A8" s="17" t="str">
        <v>类别</v>
      </c>
      <c r="B8" s="17" t="str">
        <v>工程型号 / 当前用料</v>
      </c>
      <c r="C8" s="17" t="str">
        <v>封装与关键规格</v>
      </c>
      <c r="D8" s="17" t="str">
        <v>HAT单板(个)</v>
      </c>
      <c r="E8" s="17" t="str">
        <v>IMU单板(个)</v>
      </c>
      <c r="F8" s="17" t="str">
        <v>本次需求(个)</v>
      </c>
      <c r="G8" s="17" t="str">
        <v>HAT位号</v>
      </c>
      <c r="H8" s="17" t="str">
        <v>IMU位号</v>
      </c>
      <c r="I8" s="17" t="str">
        <v>订单店铺</v>
      </c>
      <c r="J8" s="17" t="str">
        <v>订单商品链接</v>
      </c>
      <c r="K8" s="17" t="str">
        <v>必须选择的订单款式</v>
      </c>
      <c r="L8" s="17" t="str">
        <v>每拍含量(个)</v>
      </c>
      <c r="M8" s="17" t="str">
        <v>按此款式最少拍数</v>
      </c>
      <c r="N8" s="17" t="str">
        <v>工程型号参考链接</v>
      </c>
      <c r="O8" s="18" t="str">
        <v>购买说明</v>
      </c>
      <c r="P8"/>
      <c r="Q8"/>
    </row>
    <row r="9" ht="64" customHeight="1">
      <c r="A9" s="3" t="str">
        <v>电容</v>
      </c>
      <c r="B9" s="22" t="str">
        <v>CC0603KRX5R9BB105</v>
      </c>
      <c r="C9" s="22" t="str">
        <v>0603；1uF / ±10% / 50V / X5R</v>
      </c>
      <c r="D9" s="24" t="n">
        <v>15</v>
      </c>
      <c r="E9" s="24" t="n">
        <v>0</v>
      </c>
      <c r="F9" s="24" t="n">
        <f>D9*$B$4+E9*$D$4</f>
        <v>15</v>
      </c>
      <c r="G9" s="22" t="str">
        <v>C1, C2, C3, C4, C6, C10, C27, C29, C31, C33, C35, C40, C41, C42, C43</v>
      </c>
      <c r="H9" s="22"/>
      <c r="I9" s="22" t="str">
        <v>深圳市宏宸电子</v>
      </c>
      <c r="J9" s="21" t="str">
        <f>HYPERLINK("https://item.taobao.com/item.htm?id=630712731066","打开订单商品")</f>
        <v>打开订单商品</v>
      </c>
      <c r="K9" s="22" t="str">
        <v>0603 1uF ±10% X7R;50V</v>
      </c>
      <c r="L9" s="25" t="n">
        <v>1</v>
      </c>
      <c r="M9" s="25" t="n">
        <f>ROUNDUP(F9/L9,0)</f>
        <v>15</v>
      </c>
      <c r="N9" s="21" t="str">
        <f>HYPERLINK("https://www.lcsc.com/product-detail/C128624.html","查看工程型号")</f>
        <v>查看工程型号</v>
      </c>
      <c r="O9" s="22" t="str">
        <v>实际采购：0603 / 1uF / ±10% / 50V / X7R。</v>
      </c>
      <c r="P9"/>
      <c r="Q9"/>
    </row>
    <row r="10" ht="64" customHeight="1">
      <c r="A10" s="3" t="str">
        <v>电容</v>
      </c>
      <c r="B10" s="22" t="str">
        <v>C1608X5R1A106KT000E</v>
      </c>
      <c r="C10" s="22" t="str">
        <v>0603；10uF / ±10% / 10V / X5R</v>
      </c>
      <c r="D10" s="24" t="n">
        <v>5</v>
      </c>
      <c r="E10" s="24" t="n">
        <v>0</v>
      </c>
      <c r="F10" s="24" t="n">
        <f>D10*$B$4+E10*$D$4</f>
        <v>5</v>
      </c>
      <c r="G10" s="22" t="str">
        <v>C5, C7, C12, C13, C37</v>
      </c>
      <c r="H10" s="22"/>
      <c r="I10" s="22" t="str">
        <v>深圳市宏宸电子</v>
      </c>
      <c r="J10" s="21" t="str">
        <f>HYPERLINK("https://item.taobao.com/item.htm?id=630712731066","打开订单商品")</f>
        <v>打开订单商品</v>
      </c>
      <c r="K10" s="22" t="str">
        <v>0603 10uF ±10% X5R;10V</v>
      </c>
      <c r="L10" s="25" t="n">
        <v>1</v>
      </c>
      <c r="M10" s="25" t="n">
        <f>ROUNDUP(F10/L10,0)</f>
        <v>5</v>
      </c>
      <c r="N10" s="21" t="str">
        <f>HYPERLINK("https://item.szlcsc.com/77735.html","查看工程型号")</f>
        <v>查看工程型号</v>
      </c>
      <c r="O10" s="22" t="str">
        <v>实际采购：0603 / 10uF / ±10% / 10V / X5R。</v>
      </c>
      <c r="P10"/>
      <c r="Q10"/>
    </row>
    <row r="11" ht="64" customHeight="1">
      <c r="A11" s="3" t="str">
        <v>电容</v>
      </c>
      <c r="B11" s="22" t="str">
        <v>0603CG221J500NT</v>
      </c>
      <c r="C11" s="22" t="str">
        <v>0603；220pF / ±5% / 50V / C0G</v>
      </c>
      <c r="D11" s="24" t="n">
        <v>2</v>
      </c>
      <c r="E11" s="24" t="n">
        <v>0</v>
      </c>
      <c r="F11" s="24" t="n">
        <f>D11*$B$4+E11*$D$4</f>
        <v>2</v>
      </c>
      <c r="G11" s="22" t="str">
        <v>C8, C9</v>
      </c>
      <c r="H11" s="22"/>
      <c r="I11" s="22" t="str">
        <v>深圳市宏宸电子</v>
      </c>
      <c r="J11" s="21" t="str">
        <f>HYPERLINK("https://item.taobao.com/item.htm?id=1005108810412","打开订单商品")</f>
        <v>打开订单商品</v>
      </c>
      <c r="K11" s="22" t="str">
        <v>0603 220pF ±5% NPO/COG;50V;100个</v>
      </c>
      <c r="L11" s="25" t="n">
        <v>100</v>
      </c>
      <c r="M11" s="25" t="n">
        <f>ROUNDUP(F11/L11,0)</f>
        <v>1</v>
      </c>
      <c r="N11" s="21" t="str">
        <f>HYPERLINK("https://item.szlcsc.com/167743.html","查看工程型号")</f>
        <v>查看工程型号</v>
      </c>
      <c r="O11" s="22" t="str">
        <v>选 220pF、50V、C0G(NPO)、±5%、0603；同页其他容量分别选购。</v>
      </c>
      <c r="P11"/>
      <c r="Q11"/>
    </row>
    <row r="12" ht="64" customHeight="1">
      <c r="A12" s="3" t="str">
        <v>电容</v>
      </c>
      <c r="B12" s="22" t="str">
        <v>CC0603KRX7R9BB104</v>
      </c>
      <c r="C12" s="22" t="str">
        <v>0603；100nF / ±10% / 50V / X7R</v>
      </c>
      <c r="D12" s="24" t="n">
        <v>13</v>
      </c>
      <c r="E12" s="24" t="n">
        <v>0</v>
      </c>
      <c r="F12" s="24" t="n">
        <f>D12*$B$4+E12*$D$4</f>
        <v>13</v>
      </c>
      <c r="G12" s="22" t="str">
        <v>C11, C14, C16, C17, C18, C20, C26, C28, C30, C32, C36, C38, C39</v>
      </c>
      <c r="H12" s="22"/>
      <c r="I12" s="22" t="str">
        <v>深圳市宏宸电子</v>
      </c>
      <c r="J12" s="21" t="str">
        <f>HYPERLINK("https://item.taobao.com/item.htm?id=731471380840","打开订单商品")</f>
        <v>打开订单商品</v>
      </c>
      <c r="K12" s="22" t="str">
        <v>0603 100nF ±10% X7R;50V;100个</v>
      </c>
      <c r="L12" s="25" t="n">
        <v>100</v>
      </c>
      <c r="M12" s="25" t="n">
        <f>ROUNDUP(F12/L12,0)</f>
        <v>1</v>
      </c>
      <c r="N12" s="21" t="str">
        <f>HYPERLINK("https://item.szlcsc.com/15331.html","查看工程型号")</f>
        <v>查看工程型号</v>
      </c>
      <c r="O12" s="22" t="str">
        <v>实际采购：0603 / 100nF / ±10% / 50V / X7R。</v>
      </c>
      <c r="P12"/>
      <c r="Q12"/>
    </row>
    <row r="13" ht="64" customHeight="1">
      <c r="A13" s="3" t="str">
        <v>电容</v>
      </c>
      <c r="B13" s="22" t="str">
        <v>C3216X7R1V106KT000E</v>
      </c>
      <c r="C13" s="22" t="str">
        <v>1206；10uF / ±10% / 35V / X7R</v>
      </c>
      <c r="D13" s="24" t="n">
        <v>1</v>
      </c>
      <c r="E13" s="24" t="n">
        <v>0</v>
      </c>
      <c r="F13" s="24" t="n">
        <f>D13*$B$4+E13*$D$4</f>
        <v>1</v>
      </c>
      <c r="G13" s="22" t="str">
        <v>C15</v>
      </c>
      <c r="H13" s="22"/>
      <c r="I13" s="22" t="str">
        <v>深圳市宏宸电子</v>
      </c>
      <c r="J13" s="21" t="str">
        <f>HYPERLINK("https://item.taobao.com/item.htm?id=730407108775","打开订单商品")</f>
        <v>打开订单商品</v>
      </c>
      <c r="K13" s="22" t="str">
        <v>1206 10UF ±10% X7R;35V</v>
      </c>
      <c r="L13" s="25" t="n">
        <v>1</v>
      </c>
      <c r="M13" s="25" t="n">
        <f>ROUNDUP(F13/L13,0)</f>
        <v>1</v>
      </c>
      <c r="N13" s="21" t="str">
        <f>HYPERLINK("https://item.szlcsc.com/77793.html","查看工程型号")</f>
        <v>查看工程型号</v>
      </c>
      <c r="O13" s="22" t="str">
        <v>C15 使用 1206、10uF、35V、X7R 款式。</v>
      </c>
      <c r="P13"/>
      <c r="Q13"/>
    </row>
    <row r="14" ht="64" customHeight="1">
      <c r="A14" s="3" t="str">
        <v>电容</v>
      </c>
      <c r="B14" s="22" t="str">
        <v>GRM188R61A226ME15D</v>
      </c>
      <c r="C14" s="22" t="str">
        <v>0603；22uF / ±20% / 10V / X5R</v>
      </c>
      <c r="D14" s="24" t="n">
        <v>2</v>
      </c>
      <c r="E14" s="24" t="n">
        <v>0</v>
      </c>
      <c r="F14" s="24" t="n">
        <f>D14*$B$4+E14*$D$4</f>
        <v>2</v>
      </c>
      <c r="G14" s="22" t="str">
        <v>C21, C22</v>
      </c>
      <c r="H14" s="22"/>
      <c r="I14" s="22" t="str">
        <v>优好电子</v>
      </c>
      <c r="J14" s="21" t="str">
        <f>HYPERLINK("https://item.taobao.com/item.htm?id=993202872551","打开订单商品")</f>
        <v>打开订单商品</v>
      </c>
      <c r="K14" s="22" t="str">
        <v>22UF 226K 10% X5R;10V;0603=100个</v>
      </c>
      <c r="L14" s="25" t="n">
        <v>100</v>
      </c>
      <c r="M14" s="25" t="n">
        <f>ROUNDUP(F14/L14,0)</f>
        <v>1</v>
      </c>
      <c r="N14" s="21" t="str">
        <f>HYPERLINK("https://item.szlcsc.com/85589.html","查看工程型号")</f>
        <v>查看工程型号</v>
      </c>
      <c r="O14" s="22" t="str">
        <v>实际采购：0603 / 22uF / ±10% / 10V / X5R。</v>
      </c>
      <c r="P14"/>
      <c r="Q14"/>
    </row>
    <row r="15" ht="64" customHeight="1">
      <c r="A15" s="3" t="str">
        <v>电容</v>
      </c>
      <c r="B15" s="22" t="str">
        <v>CC0603KRX7R9BB103</v>
      </c>
      <c r="C15" s="22" t="str">
        <v>0603；10nF / ±10% / 50V / X7R</v>
      </c>
      <c r="D15" s="24" t="n">
        <v>1</v>
      </c>
      <c r="E15" s="24" t="n">
        <v>0</v>
      </c>
      <c r="F15" s="24" t="n">
        <f>D15*$B$4+E15*$D$4</f>
        <v>1</v>
      </c>
      <c r="G15" s="22" t="str">
        <v>C34</v>
      </c>
      <c r="H15" s="22"/>
      <c r="I15" s="22" t="str">
        <v>欧贝顿旗舰店</v>
      </c>
      <c r="J15" s="21" t="str">
        <f>HYPERLINK("https://item.taobao.com/item.htm?id=610558214623","打开订单商品")</f>
        <v>打开订单商品</v>
      </c>
      <c r="K15" s="22" t="str">
        <v>0603 10NF 50V 10% 100个</v>
      </c>
      <c r="L15" s="25" t="n">
        <v>100</v>
      </c>
      <c r="M15" s="25" t="n">
        <f>ROUNDUP(F15/L15,0)</f>
        <v>1</v>
      </c>
      <c r="N15" s="21" t="str">
        <f>HYPERLINK("https://item.szlcsc.com/101256.html","查看工程型号")</f>
        <v>查看工程型号</v>
      </c>
      <c r="O15" s="22" t="str">
        <v>实际采购：0603 / 10nF / ±10% / 50V / X7R。</v>
      </c>
      <c r="P15"/>
      <c r="Q15"/>
    </row>
    <row r="16" ht="64" customHeight="1">
      <c r="A16" s="3" t="str">
        <v>半导体</v>
      </c>
      <c r="B16" s="22" t="str">
        <v>BAT54SW,115</v>
      </c>
      <c r="C16" s="22" t="str">
        <v>SOT-323；二极管配置:1对串联式；正向压降(Vf):800mV@100mA；直流反向耐压(Vr):30V；整流电流:200mA</v>
      </c>
      <c r="D16" s="24" t="n">
        <v>1</v>
      </c>
      <c r="E16" s="24" t="n">
        <v>0</v>
      </c>
      <c r="F16" s="24" t="n">
        <f>D16*$B$4+E16*$D$4</f>
        <v>1</v>
      </c>
      <c r="G16" s="22" t="str">
        <v>D1</v>
      </c>
      <c r="H16" s="22"/>
      <c r="I16" s="22" t="str">
        <v>深圳市乐桥微科技</v>
      </c>
      <c r="J16" s="21" t="str">
        <f>HYPERLINK("https://item.taobao.com/item.htm?id=793455311175","打开订单商品")</f>
        <v>打开订单商品</v>
      </c>
      <c r="K16" s="22" t="str">
        <v>BAT54SW 印字44t（20只）</v>
      </c>
      <c r="L16" s="25" t="n">
        <v>20</v>
      </c>
      <c r="M16" s="25" t="n">
        <f>ROUNDUP(F16/L16,0)</f>
        <v>1</v>
      </c>
      <c r="N16" s="21" t="str">
        <f>HYPERLINK("https://item.szlcsc.com/79742.html","查看工程型号")</f>
        <v>查看工程型号</v>
      </c>
      <c r="O16" s="22" t="str">
        <v>选择 BAT54SW / SOT-323 款式。</v>
      </c>
      <c r="P16"/>
      <c r="Q16"/>
    </row>
    <row r="17" ht="64" customHeight="1">
      <c r="A17" s="3" t="str">
        <v>半导体</v>
      </c>
      <c r="B17" s="22" t="str">
        <v>BZT52C5V1S-7-F</v>
      </c>
      <c r="C17" s="22" t="str">
        <v>SOD-323；二极管配置:1个独立式；稳压值(标称值):5.1V；稳压值(范围值):4.8V~5.4V；耗散功率(Pd):200mW</v>
      </c>
      <c r="D17" s="24" t="n">
        <v>1</v>
      </c>
      <c r="E17" s="24" t="n">
        <v>0</v>
      </c>
      <c r="F17" s="24" t="n">
        <f>D17*$B$4+E17*$D$4</f>
        <v>1</v>
      </c>
      <c r="G17" s="22" t="str">
        <v>D4</v>
      </c>
      <c r="H17" s="22"/>
      <c r="I17" s="22" t="str">
        <v>稳泊仕旗舰店</v>
      </c>
      <c r="J17" s="21" t="str">
        <f>HYPERLINK("https://item.taobao.com/item.htm?id=943185002457","打开订单商品")</f>
        <v>打开订单商品</v>
      </c>
      <c r="K17" s="22" t="str">
        <v>BZT52C5V1S W8 SOD-323 (50个)</v>
      </c>
      <c r="L17" s="25" t="n">
        <v>50</v>
      </c>
      <c r="M17" s="25" t="n">
        <f>ROUNDUP(F17/L17,0)</f>
        <v>1</v>
      </c>
      <c r="N17" s="21" t="str">
        <f>HYPERLINK("https://item.szlcsc.com/162688.html","查看工程型号")</f>
        <v>查看工程型号</v>
      </c>
      <c r="O17" s="22" t="str">
        <v>选择 BZT52C5V1S / 5.1V / SOD-323 款式。</v>
      </c>
      <c r="P17"/>
      <c r="Q17"/>
    </row>
    <row r="18" ht="64" customHeight="1">
      <c r="A18" s="3" t="str">
        <v>磁珠</v>
      </c>
      <c r="B18" s="22" t="str">
        <v>BLM18KG601SN1D</v>
      </c>
      <c r="C18" s="22" t="str">
        <v>0603；±25% / 600Ω@100MHz / 1.3A</v>
      </c>
      <c r="D18" s="24" t="n">
        <v>1</v>
      </c>
      <c r="E18" s="24" t="n">
        <v>0</v>
      </c>
      <c r="F18" s="24" t="n">
        <f>D18*$B$4+E18*$D$4</f>
        <v>1</v>
      </c>
      <c r="G18" s="22" t="str">
        <v>FB1</v>
      </c>
      <c r="H18" s="22"/>
      <c r="I18" s="22" t="str">
        <v>科芯奇旗舰店</v>
      </c>
      <c r="J18" s="21" t="str">
        <f>HYPERLINK("https://item.taobao.com/item.htm?id=931081429973","打开订单商品")</f>
        <v>打开订单商品</v>
      </c>
      <c r="K18" s="22" t="str">
        <v>0603_600R_1.3A_±25%【100只】</v>
      </c>
      <c r="L18" s="25" t="n">
        <v>100</v>
      </c>
      <c r="M18" s="25" t="n">
        <f>ROUNDUP(F18/L18,0)</f>
        <v>1</v>
      </c>
      <c r="N18" s="21" t="str">
        <f>HYPERLINK("https://item.szlcsc.com/87009.html","查看工程型号")</f>
        <v>查看工程型号</v>
      </c>
      <c r="O18" s="22" t="str">
        <v>实际采购：0603 / 600Ω@100MHz / 1.3A / ±25%。</v>
      </c>
      <c r="P18"/>
      <c r="Q18"/>
    </row>
    <row r="19" ht="64" customHeight="1">
      <c r="A19" s="3" t="str">
        <v>磁珠</v>
      </c>
      <c r="B19" s="22" t="str">
        <v>PE-0603PFB121ST</v>
      </c>
      <c r="C19" s="22" t="str">
        <v>0603；±25% / 120Ω@100MHz / 2A</v>
      </c>
      <c r="D19" s="24" t="n">
        <v>2</v>
      </c>
      <c r="E19" s="24" t="n">
        <v>0</v>
      </c>
      <c r="F19" s="24" t="n">
        <f>D19*$B$4+E19*$D$4</f>
        <v>2</v>
      </c>
      <c r="G19" s="22" t="str">
        <v>FB2, FB3</v>
      </c>
      <c r="H19" s="22"/>
      <c r="I19" s="22" t="str">
        <v>科芯奇旗舰店</v>
      </c>
      <c r="J19" s="21" t="str">
        <f>HYPERLINK("https://item.taobao.com/item.htm?id=931081429973","打开订单商品")</f>
        <v>打开订单商品</v>
      </c>
      <c r="K19" s="22" t="str">
        <v>0603_120R_2A_±25%【100只】</v>
      </c>
      <c r="L19" s="25" t="n">
        <v>100</v>
      </c>
      <c r="M19" s="25" t="n">
        <f>ROUNDUP(F19/L19,0)</f>
        <v>1</v>
      </c>
      <c r="N19" s="21" t="str">
        <f>HYPERLINK("https://item.szlcsc.com/2753383.html","查看工程型号")</f>
        <v>查看工程型号</v>
      </c>
      <c r="O19" s="22" t="str">
        <v>实际采购：0603 / 120Ω@100MHz / 2A / ±25%。</v>
      </c>
      <c r="P19"/>
      <c r="Q19"/>
    </row>
    <row r="20" ht="64" customHeight="1">
      <c r="A20" s="3" t="str">
        <v>连接器</v>
      </c>
      <c r="B20" s="22" t="str">
        <v>B2B-EH-A(LF)(SN)</v>
      </c>
      <c r="C20" s="22" t="str">
        <v>插件,P=2.5mm；250V / 3A</v>
      </c>
      <c r="D20" s="24" t="n">
        <v>3</v>
      </c>
      <c r="E20" s="24" t="n">
        <v>0</v>
      </c>
      <c r="F20" s="24" t="n">
        <f>D20*$B$4+E20*$D$4</f>
        <v>3</v>
      </c>
      <c r="G20" s="22" t="str">
        <v>J1, J2, J9</v>
      </c>
      <c r="H20" s="22"/>
      <c r="I20" s="22" t="str">
        <v>启色数码旗舰店</v>
      </c>
      <c r="J20" s="21" t="str">
        <f>HYPERLINK("https://item.taobao.com/item.htm?id=832569969546","打开订单商品")</f>
        <v>打开订单商品</v>
      </c>
      <c r="K20" s="22" t="str">
        <v>EH2.5MM 2P直针座（50个）</v>
      </c>
      <c r="L20" s="25" t="n">
        <v>50</v>
      </c>
      <c r="M20" s="25" t="n">
        <f>ROUNDUP(F20/L20,0)</f>
        <v>1</v>
      </c>
      <c r="N20" s="21" t="str">
        <f>HYPERLINK("https://item.szlcsc.com/171642.html","查看工程型号")</f>
        <v>查看工程型号</v>
      </c>
      <c r="O20" s="22" t="str">
        <v>EH 2P 直针座；按 EH2.5MM 2P 直针座选项购买。</v>
      </c>
      <c r="P20"/>
      <c r="Q20"/>
    </row>
    <row r="21" ht="64" customHeight="1">
      <c r="A21" s="3" t="str">
        <v>连接器</v>
      </c>
      <c r="B21" s="22" t="str">
        <v>FH-00339</v>
      </c>
      <c r="C21" s="22" t="str">
        <v>SMD,P=2.54mm；3A</v>
      </c>
      <c r="D21" s="24" t="n">
        <v>1</v>
      </c>
      <c r="E21" s="24" t="n">
        <v>0</v>
      </c>
      <c r="F21" s="24" t="n">
        <f>D21*$B$4+E21*$D$4</f>
        <v>1</v>
      </c>
      <c r="G21" s="22" t="str">
        <v>J4</v>
      </c>
      <c r="H21" s="22"/>
      <c r="I21" s="22" t="str">
        <v>海雀数码专营店</v>
      </c>
      <c r="J21" s="21" t="str">
        <f>HYPERLINK("https://item.taobao.com/item.htm?id=533725557959","打开订单商品")</f>
        <v>打开订单商品</v>
      </c>
      <c r="K21" s="22" t="str">
        <v>2*20P 贴片排母【2个】</v>
      </c>
      <c r="L21" s="25" t="n">
        <v>2</v>
      </c>
      <c r="M21" s="25" t="n">
        <f>ROUNDUP(F21/L21,0)</f>
        <v>1</v>
      </c>
      <c r="N21" s="21" t="str">
        <f>HYPERLINK("https://item.szlcsc.com/2784386.html","查看工程型号")</f>
        <v>查看工程型号</v>
      </c>
      <c r="O21" s="22" t="str">
        <v>双排 2×20P、2.54mm、贴片排母，安装在 HAT 底面。</v>
      </c>
      <c r="P21"/>
      <c r="Q21"/>
    </row>
    <row r="22" ht="64" customHeight="1">
      <c r="A22" s="3" t="str">
        <v>连接器</v>
      </c>
      <c r="B22" s="22" t="str">
        <v>BM04B-SRSS-TB(LF)(SN)</v>
      </c>
      <c r="C22" s="22" t="str">
        <v>SMD,P=1mm；50V / 1A</v>
      </c>
      <c r="D22" s="24" t="n">
        <v>1</v>
      </c>
      <c r="E22" s="24" t="n">
        <v>0</v>
      </c>
      <c r="F22" s="24" t="n">
        <f>D22*$B$4+E22*$D$4</f>
        <v>1</v>
      </c>
      <c r="G22" s="22" t="str">
        <v>J5</v>
      </c>
      <c r="H22" s="22"/>
      <c r="I22" s="22" t="str">
        <v>信容芯旗舰店</v>
      </c>
      <c r="J22" s="21" t="str">
        <f>HYPERLINK("https://item.taobao.com/item.htm?id=920058690376","打开订单商品")</f>
        <v>打开订单商品</v>
      </c>
      <c r="K22" s="22" t="str">
        <v>4P立贴（15个）</v>
      </c>
      <c r="L22" s="25" t="n">
        <v>15</v>
      </c>
      <c r="M22" s="25" t="n">
        <f>ROUNDUP(F22/L22,0)</f>
        <v>1</v>
      </c>
      <c r="N22" s="21" t="str">
        <f>HYPERLINK("https://item.szlcsc.com/171770.html","查看工程型号")</f>
        <v>查看工程型号</v>
      </c>
      <c r="O22" s="22" t="str">
        <v>SH1.0 / 4P / 立贴，按“4P立贴（15个）”选项购买。</v>
      </c>
      <c r="P22"/>
      <c r="Q22"/>
    </row>
    <row r="23" ht="64" customHeight="1">
      <c r="A23" s="3" t="str">
        <v>连接器</v>
      </c>
      <c r="B23" s="22" t="str">
        <v>B3B-EH-A(LF)(SN)</v>
      </c>
      <c r="C23" s="22" t="str">
        <v>插件,P=2.5mm；250V / 3A</v>
      </c>
      <c r="D23" s="24" t="n">
        <v>2</v>
      </c>
      <c r="E23" s="24" t="n">
        <v>1</v>
      </c>
      <c r="F23" s="24" t="n">
        <f>D23*$B$4+E23*$D$4</f>
        <v>3</v>
      </c>
      <c r="G23" s="22" t="str">
        <v>J13, J14</v>
      </c>
      <c r="H23" s="22" t="str">
        <v>J1</v>
      </c>
      <c r="I23" s="22" t="str">
        <v>启色数码旗舰店</v>
      </c>
      <c r="J23" s="21" t="str">
        <f>HYPERLINK("https://item.taobao.com/item.htm?id=832569969546","打开订单商品")</f>
        <v>打开订单商品</v>
      </c>
      <c r="K23" s="22" t="str">
        <v>EH2.5MM 3P直针座（50个）</v>
      </c>
      <c r="L23" s="25" t="n">
        <v>50</v>
      </c>
      <c r="M23" s="25" t="n">
        <f>ROUNDUP(F23/L23,0)</f>
        <v>1</v>
      </c>
      <c r="N23" s="21" t="str">
        <f>HYPERLINK("https://item.szlcsc.com/171639.html","查看工程型号")</f>
        <v>查看工程型号</v>
      </c>
      <c r="O23" s="22" t="str">
        <v>EH 3P 直针座，HAT 两只、IMU 一只。</v>
      </c>
      <c r="P23"/>
      <c r="Q23"/>
    </row>
    <row r="24" ht="64" customHeight="1">
      <c r="A24" s="3" t="str">
        <v>电感</v>
      </c>
      <c r="B24" s="22" t="str">
        <v>SWPA6045S6R8MT</v>
      </c>
      <c r="C24" s="22" t="str">
        <v>SMD,6x6mm；6.8uH / ±20% / 3A</v>
      </c>
      <c r="D24" s="24" t="n">
        <v>1</v>
      </c>
      <c r="E24" s="24" t="n">
        <v>0</v>
      </c>
      <c r="F24" s="24" t="n">
        <f>D24*$B$4+E24*$D$4</f>
        <v>1</v>
      </c>
      <c r="G24" s="22" t="str">
        <v>L4</v>
      </c>
      <c r="H24" s="22"/>
      <c r="I24" s="22" t="str">
        <v>迪林旗舰店</v>
      </c>
      <c r="J24" s="21" t="str">
        <f>HYPERLINK("https://item.taobao.com/item.htm?id=598174251748","打开订单商品")</f>
        <v>打开订单商品</v>
      </c>
      <c r="K24" s="22" t="str">
        <v>合金0630 6.8UH 印6R8 10个 6A 一体</v>
      </c>
      <c r="L24" s="25" t="n">
        <v>10</v>
      </c>
      <c r="M24" s="25" t="n">
        <f>ROUNDUP(F24/L24,0)</f>
        <v>1</v>
      </c>
      <c r="N24" s="21" t="str">
        <f>HYPERLINK("https://item.szlcsc.com/58286.html","查看工程型号")</f>
        <v>查看工程型号</v>
      </c>
      <c r="O24" s="22" t="str">
        <v>实际使用：合金0630、6.8uH、6A一体成型电感（订单标称）。</v>
      </c>
      <c r="P24"/>
      <c r="Q24"/>
    </row>
    <row r="25" ht="64" customHeight="1">
      <c r="A25" s="3" t="str">
        <v>麦克风</v>
      </c>
      <c r="B25" s="22" t="str">
        <v>LMA2718T421-OA5-2</v>
      </c>
      <c r="C25" s="22" t="str">
        <v>SMD-4P,2.8x1.9mm；指向性:全指向；信噪比:55dB；灵敏度:-42dB；阻抗:300Ω</v>
      </c>
      <c r="D25" s="24" t="n">
        <v>1</v>
      </c>
      <c r="E25" s="24" t="n">
        <v>0</v>
      </c>
      <c r="F25" s="24" t="n">
        <f>D25*$B$4+E25*$D$4</f>
        <v>1</v>
      </c>
      <c r="G25" s="22" t="str">
        <v>MK1</v>
      </c>
      <c r="H25" s="22"/>
      <c r="I25" s="22" t="str">
        <v>深圳市华源芯电子有限公司 电子元器件配单</v>
      </c>
      <c r="J25" s="21" t="str">
        <f>HYPERLINK("https://item.taobao.com/item.htm?id=996702312391","打开订单商品")</f>
        <v>打开订单商品</v>
      </c>
      <c r="K25" s="22" t="str">
        <v>2718 上进音 硅麦克风【2个】</v>
      </c>
      <c r="L25" s="25" t="n">
        <v>2</v>
      </c>
      <c r="M25" s="25" t="n">
        <f>ROUNDUP(F25/L25,0)</f>
        <v>1</v>
      </c>
      <c r="N25" s="21" t="str">
        <f>HYPERLINK("https://item.szlcsc.com/8705873.html","查看工程型号")</f>
        <v>查看工程型号</v>
      </c>
      <c r="O25" s="22" t="str">
        <v>实际使用：2718 上进音模拟 MEMS 麦克风，按“2718 上进音 硅麦克风【2个】”购买。</v>
      </c>
      <c r="P25"/>
      <c r="Q25"/>
    </row>
    <row r="26" ht="64" customHeight="1">
      <c r="A26" s="3" t="str">
        <v>半导体</v>
      </c>
      <c r="B26" s="22" t="str">
        <v>MMBT3906</v>
      </c>
      <c r="C26" s="22" t="str">
        <v>SOT-23；晶体管类型:PNP；集电极电流(Ic):200mA；集射极击穿电压(Vceo):40V；耗散功率(Pd):200mW；直流电流增益(hFE):100@10mA,1V</v>
      </c>
      <c r="D26" s="24" t="n">
        <v>1</v>
      </c>
      <c r="E26" s="24" t="n">
        <v>0</v>
      </c>
      <c r="F26" s="24" t="n">
        <f>D26*$B$4+E26*$D$4</f>
        <v>1</v>
      </c>
      <c r="G26" s="22" t="str">
        <v>Q1</v>
      </c>
      <c r="H26" s="22"/>
      <c r="I26" s="22" t="str">
        <v>稳泊仕旗舰店</v>
      </c>
      <c r="J26" s="21" t="str">
        <f>HYPERLINK("https://item.taobao.com/item.htm?id=944306254140","打开订单商品")</f>
        <v>打开订单商品</v>
      </c>
      <c r="K26" s="22" t="str">
        <v>MMBT3906 丝印2A SOT-23(50个)</v>
      </c>
      <c r="L26" s="25" t="n">
        <v>50</v>
      </c>
      <c r="M26" s="25" t="n">
        <f>ROUNDUP(F26/L26,0)</f>
        <v>1</v>
      </c>
      <c r="N26" s="21" t="str">
        <f>HYPERLINK("https://item.szlcsc.com/774233.html","查看工程型号")</f>
        <v>查看工程型号</v>
      </c>
      <c r="O26" s="22" t="str">
        <v>选择 MMBT3906 / PNP / SOT-23 款式。</v>
      </c>
      <c r="P26"/>
      <c r="Q26"/>
    </row>
    <row r="27" ht="64" customHeight="1">
      <c r="A27" s="3" t="str">
        <v>半导体</v>
      </c>
      <c r="B27" s="22" t="str">
        <v>SI2312CDS-T1-GE3</v>
      </c>
      <c r="C27" s="22" t="str">
        <v>SOT-23；数量:1个N沟道；漏源电压(Vdss):20V；连续漏极电流(Id):6A；导通电阻(RDS(on)):41.4mΩ@1.8V,5.6A；耗散功率(Pd):2.1W；阈值电压(Vgs(th)):1V@250uA</v>
      </c>
      <c r="D27" s="24" t="n">
        <v>1</v>
      </c>
      <c r="E27" s="24" t="n">
        <v>0</v>
      </c>
      <c r="F27" s="24" t="n">
        <f>D27*$B$4+E27*$D$4</f>
        <v>1</v>
      </c>
      <c r="G27" s="22" t="str">
        <v>Q2</v>
      </c>
      <c r="H27" s="22"/>
      <c r="I27" s="22" t="str">
        <v>一芯向上电子</v>
      </c>
      <c r="J27" s="21" t="str">
        <f>HYPERLINK("https://item.taobao.com/item.htm?id=909264246006","打开订单商品")</f>
        <v>打开订单商品</v>
      </c>
      <c r="K27" s="22" t="str">
        <v>SI2312DS（AE9T）N沟道（20只）</v>
      </c>
      <c r="L27" s="25" t="n">
        <v>20</v>
      </c>
      <c r="M27" s="25" t="n">
        <f>ROUNDUP(F27/L27,0)</f>
        <v>1</v>
      </c>
      <c r="N27" s="21" t="str">
        <f>HYPERLINK("https://item.szlcsc.com/153849.html","查看工程型号")</f>
        <v>查看工程型号</v>
      </c>
      <c r="O27" s="22" t="str">
        <v>实际使用：SI2312DS（AE9T）N沟道，20只包装。</v>
      </c>
      <c r="P27"/>
      <c r="Q27"/>
    </row>
    <row r="28" ht="64" customHeight="1">
      <c r="A28" s="3" t="str">
        <v>电阻</v>
      </c>
      <c r="B28" s="22" t="str">
        <v>RC0603FR-0710KL</v>
      </c>
      <c r="C28" s="22" t="str">
        <v>0603；10kΩ / ±1% / ±100ppm/℃ / 100mW</v>
      </c>
      <c r="D28" s="24" t="n">
        <v>12</v>
      </c>
      <c r="E28" s="24" t="n">
        <v>3</v>
      </c>
      <c r="F28" s="24" t="n">
        <f>D28*$B$4+E28*$D$4</f>
        <v>15</v>
      </c>
      <c r="G28" s="22" t="str">
        <v>R1, R2, R6, R12, R13, R22, R23, R26, R27, R29, R31, R32</v>
      </c>
      <c r="H28" s="22" t="str">
        <v>R2, R4, R5</v>
      </c>
      <c r="I28" s="22" t="str">
        <v>深圳市永芯泰电子企业店</v>
      </c>
      <c r="J28" s="21" t="str">
        <f>HYPERLINK("https://item.taobao.com/item.htm?id=947267344247","打开订单商品")</f>
        <v>打开订单商品</v>
      </c>
      <c r="K28" s="22" t="str">
        <v>10K;0603 1%（100个）</v>
      </c>
      <c r="L28" s="25" t="n">
        <v>100</v>
      </c>
      <c r="M28" s="25" t="n">
        <f>ROUNDUP(F28/L28,0)</f>
        <v>1</v>
      </c>
      <c r="N28" s="21" t="str">
        <f>HYPERLINK("https://item.szlcsc.com/99429.html","查看工程型号")</f>
        <v>查看工程型号</v>
      </c>
      <c r="O28" s="22" t="str">
        <v>10kΩ / ±1% / 0603；HAT 十二只、IMU 三只。</v>
      </c>
      <c r="P28"/>
      <c r="Q28"/>
    </row>
    <row r="29" ht="64" customHeight="1">
      <c r="A29" s="3" t="str">
        <v>电阻</v>
      </c>
      <c r="B29" s="22" t="str">
        <v>0603WAF0000T5E</v>
      </c>
      <c r="C29" s="22" t="str">
        <v>0603；0Ω / ±1% / 0603</v>
      </c>
      <c r="D29" s="24" t="n">
        <v>5</v>
      </c>
      <c r="E29" s="24" t="n">
        <v>1</v>
      </c>
      <c r="F29" s="24" t="n">
        <f>D29*$B$4+E29*$D$4</f>
        <v>6</v>
      </c>
      <c r="G29" s="22" t="str">
        <v>R3, R4, R5, R7, R33</v>
      </c>
      <c r="H29" s="22" t="str">
        <v>R1</v>
      </c>
      <c r="I29" s="22" t="str">
        <v>深圳市永芯泰电子企业店</v>
      </c>
      <c r="J29" s="21" t="str">
        <f>HYPERLINK("https://item.taobao.com/item.htm?id=947267344247","打开订单商品")</f>
        <v>打开订单商品</v>
      </c>
      <c r="K29" s="22" t="str">
        <v>0R/0欧;0603 1%（100个）</v>
      </c>
      <c r="L29" s="25" t="n">
        <v>100</v>
      </c>
      <c r="M29" s="25" t="n">
        <f>ROUNDUP(F29/L29,0)</f>
        <v>1</v>
      </c>
      <c r="N29" s="21" t="str">
        <f>HYPERLINK("https://item.szlcsc.com/21903.html","查看工程型号")</f>
        <v>查看工程型号</v>
      </c>
      <c r="O29" s="22" t="str">
        <v>0Ω / 0603；HAT R33 按后续 0Ω / C21189 补丁计入。</v>
      </c>
      <c r="P29"/>
      <c r="Q29"/>
    </row>
    <row r="30" ht="64" customHeight="1">
      <c r="A30" s="3" t="str">
        <v>电阻</v>
      </c>
      <c r="B30" s="22" t="str">
        <v>0603WAF1000T5E</v>
      </c>
      <c r="C30" s="22" t="str">
        <v>0603；100Ω / ±1% / ±200ppm/℃ / 100mW</v>
      </c>
      <c r="D30" s="24" t="n">
        <v>1</v>
      </c>
      <c r="E30" s="24" t="n">
        <v>0</v>
      </c>
      <c r="F30" s="24" t="n">
        <f>D30*$B$4+E30*$D$4</f>
        <v>1</v>
      </c>
      <c r="G30" s="22" t="str">
        <v>R8</v>
      </c>
      <c r="H30" s="22"/>
      <c r="I30" s="22" t="str">
        <v>深圳市永芯泰电子企业店</v>
      </c>
      <c r="J30" s="21" t="str">
        <f>HYPERLINK("https://item.taobao.com/item.htm?id=947267344247","打开订单商品")</f>
        <v>打开订单商品</v>
      </c>
      <c r="K30" s="22" t="str">
        <v>100R/100欧;0603 1%（100个）</v>
      </c>
      <c r="L30" s="25" t="n">
        <v>100</v>
      </c>
      <c r="M30" s="25" t="n">
        <f>ROUNDUP(F30/L30,0)</f>
        <v>1</v>
      </c>
      <c r="N30" s="21" t="str">
        <f>HYPERLINK("https://www.lcsc.com/product-detail/C22775.html","查看工程型号")</f>
        <v>查看工程型号</v>
      </c>
      <c r="O30" s="22" t="str">
        <v>100Ω / ±1% / 0603，用于 HAT R8。</v>
      </c>
      <c r="P30"/>
      <c r="Q30"/>
    </row>
    <row r="31" ht="64" customHeight="1">
      <c r="A31" s="3" t="str">
        <v>电阻</v>
      </c>
      <c r="B31" s="22" t="str">
        <v>0603WAF2002T5E</v>
      </c>
      <c r="C31" s="22" t="str">
        <v>0603；20kΩ / ±1% / ±100ppm/℃ / 100mW</v>
      </c>
      <c r="D31" s="24" t="n">
        <v>1</v>
      </c>
      <c r="E31" s="24" t="n">
        <v>0</v>
      </c>
      <c r="F31" s="24" t="n">
        <f>D31*$B$4+E31*$D$4</f>
        <v>1</v>
      </c>
      <c r="G31" s="22" t="str">
        <v>R28</v>
      </c>
      <c r="H31" s="22"/>
      <c r="I31" s="22" t="str">
        <v>深圳市永芯泰电子企业店</v>
      </c>
      <c r="J31" s="21" t="str">
        <f>HYPERLINK("https://item.taobao.com/item.htm?id=947267344247","打开订单商品")</f>
        <v>打开订单商品</v>
      </c>
      <c r="K31" s="22" t="str">
        <v>20K;0603 1%（100个）</v>
      </c>
      <c r="L31" s="25" t="n">
        <v>100</v>
      </c>
      <c r="M31" s="25" t="n">
        <f>ROUNDUP(F31/L31,0)</f>
        <v>1</v>
      </c>
      <c r="N31" s="21" t="str">
        <f>HYPERLINK("https://item.szlcsc.com/4591.html","查看工程型号")</f>
        <v>查看工程型号</v>
      </c>
      <c r="O31" s="22" t="str">
        <v>20kΩ / ±1% / 0603。</v>
      </c>
      <c r="P31"/>
      <c r="Q31"/>
    </row>
    <row r="32" ht="64" customHeight="1">
      <c r="A32" s="3" t="str">
        <v>电阻</v>
      </c>
      <c r="B32" s="22" t="str">
        <v>22Ω 0603 ±1% 电阻</v>
      </c>
      <c r="C32" s="22" t="str">
        <v>0603；22Ω / ±1% / 0603</v>
      </c>
      <c r="D32" s="24" t="n">
        <v>1</v>
      </c>
      <c r="E32" s="24" t="n">
        <v>0</v>
      </c>
      <c r="F32" s="24" t="n">
        <f>D32*$B$4+E32*$D$4</f>
        <v>1</v>
      </c>
      <c r="G32" s="22" t="str">
        <v>TH1</v>
      </c>
      <c r="H32" s="22"/>
      <c r="I32" s="22" t="str">
        <v>深圳市永芯泰电子企业店</v>
      </c>
      <c r="J32" s="21" t="str">
        <f>HYPERLINK("https://item.taobao.com/item.htm?id=947267344247","打开订单商品")</f>
        <v>打开订单商品</v>
      </c>
      <c r="K32" s="22" t="str">
        <v>22R/22欧;0603 1%（100个）</v>
      </c>
      <c r="L32" s="25" t="n">
        <v>100</v>
      </c>
      <c r="M32" s="25" t="n">
        <f>ROUNDUP(F32/L32,0)</f>
        <v>1</v>
      </c>
      <c r="N32" s="3"/>
      <c r="O32" s="22" t="str">
        <v>TH1 位置实际使用 22Ω / ±1% / 0603 电阻；工程原值保留在位号表。</v>
      </c>
      <c r="P32"/>
      <c r="Q32"/>
    </row>
    <row r="33" ht="64" customHeight="1">
      <c r="A33" s="3" t="str">
        <v>半导体</v>
      </c>
      <c r="B33" s="22" t="str">
        <v>PAM8406DR</v>
      </c>
      <c r="C33" s="22" t="str">
        <v>SOIC-16；功放类型:AB类功放；D类功放；扬声器通道数:双声道；输出功率:5Wx2@2Ω；静态电流(Iq):10mA</v>
      </c>
      <c r="D33" s="24" t="n">
        <v>1</v>
      </c>
      <c r="E33" s="24" t="n">
        <v>0</v>
      </c>
      <c r="F33" s="24" t="n">
        <f>D33*$B$4+E33*$D$4</f>
        <v>1</v>
      </c>
      <c r="G33" s="22" t="str">
        <v>U1</v>
      </c>
      <c r="H33" s="22"/>
      <c r="I33" s="22" t="str">
        <v>深圳市远大芯程科技</v>
      </c>
      <c r="J33" s="21" t="str">
        <f>HYPERLINK("https://item.taobao.com/item.htm?id=808484505787","打开订单商品")</f>
        <v>打开订单商品</v>
      </c>
      <c r="K33" s="22" t="str">
        <v>PAM8406DR</v>
      </c>
      <c r="L33" s="25" t="n">
        <v>1</v>
      </c>
      <c r="M33" s="25" t="n">
        <f>ROUNDUP(F33/L33,0)</f>
        <v>1</v>
      </c>
      <c r="N33" s="21" t="str">
        <f>HYPERLINK("https://item.szlcsc.com/87446.html","查看工程型号")</f>
        <v>查看工程型号</v>
      </c>
      <c r="O33" s="22" t="str">
        <v>实际使用：PAM8406DR，订单标注 SOP16。</v>
      </c>
      <c r="P33"/>
      <c r="Q33"/>
    </row>
    <row r="34" ht="64" customHeight="1">
      <c r="A34" s="3" t="str">
        <v>半导体</v>
      </c>
      <c r="B34" s="22" t="str">
        <v>TLV320AIC3104IRHBR</v>
      </c>
      <c r="C34" s="22" t="str">
        <v>HVQFN-32-EP(5x5)；类型:编解码器；接口类型:I2S；I2C；采样率:8kHz~96kHz</v>
      </c>
      <c r="D34" s="24" t="n">
        <v>1</v>
      </c>
      <c r="E34" s="24" t="n">
        <v>0</v>
      </c>
      <c r="F34" s="24" t="n">
        <f>D34*$B$4+E34*$D$4</f>
        <v>1</v>
      </c>
      <c r="G34" s="22" t="str">
        <v>U2</v>
      </c>
      <c r="H34" s="22"/>
      <c r="I34" s="22" t="str">
        <v>淼鑫电子科技</v>
      </c>
      <c r="J34" s="21" t="str">
        <f>HYPERLINK("https://item.taobao.com/item.htm?id=908248360601","打开订单商品")</f>
        <v>打开订单商品</v>
      </c>
      <c r="K34" s="22" t="str">
        <v>商品无选项，按商品标题完整型号购买</v>
      </c>
      <c r="L34" s="25" t="n">
        <v>1</v>
      </c>
      <c r="M34" s="25" t="n">
        <f>ROUNDUP(F34/L34,0)</f>
        <v>1</v>
      </c>
      <c r="N34" s="21" t="str">
        <f>HYPERLINK("https://www.lcsc.com/product-detail/C181753.html","查看工程型号")</f>
        <v>查看工程型号</v>
      </c>
      <c r="O34" s="22" t="str">
        <v>TLV320AIC3104IRHBR，按商品完整型号购买。</v>
      </c>
      <c r="P34"/>
      <c r="Q34"/>
    </row>
    <row r="35" ht="64" customHeight="1">
      <c r="A35" s="3" t="str">
        <v>半导体</v>
      </c>
      <c r="B35" s="22" t="str">
        <v>XC6206P182MR</v>
      </c>
      <c r="C35" s="22" t="str">
        <v>SOT-23；输出极性:正极；工作电压:8V；输出电压:1.8V；输出电流:250mA；电源纹波抑制比(PSRR):40dB@(1kHz)；输出类型:固定</v>
      </c>
      <c r="D35" s="24" t="n">
        <v>1</v>
      </c>
      <c r="E35" s="24" t="n">
        <v>0</v>
      </c>
      <c r="F35" s="24" t="n">
        <f>D35*$B$4+E35*$D$4</f>
        <v>1</v>
      </c>
      <c r="G35" s="22" t="str">
        <v>U3</v>
      </c>
      <c r="H35" s="22"/>
      <c r="I35" s="22" t="str">
        <v>启色数码旗舰店</v>
      </c>
      <c r="J35" s="21" t="str">
        <f>HYPERLINK("https://item.taobao.com/item.htm?id=762173333947","打开订单商品")</f>
        <v>打开订单商品</v>
      </c>
      <c r="K35" s="22" t="str">
        <v>XC6206P182MR 65K5 SOT-23 (20个)</v>
      </c>
      <c r="L35" s="25" t="n">
        <v>20</v>
      </c>
      <c r="M35" s="25" t="n">
        <f>ROUNDUP(F35/L35,0)</f>
        <v>1</v>
      </c>
      <c r="N35" s="21" t="str">
        <f>HYPERLINK("https://item.szlcsc.com/324033.html","查看工程型号")</f>
        <v>查看工程型号</v>
      </c>
      <c r="O35" s="22" t="str">
        <v>XC6206P182MR / 1.8V / SOT-23，20个包装。</v>
      </c>
      <c r="P35"/>
      <c r="Q35"/>
    </row>
    <row r="36" ht="64" customHeight="1">
      <c r="A36" s="3" t="str">
        <v>半导体</v>
      </c>
      <c r="B36" s="22" t="str">
        <v>SN74LVC1G08DBVR</v>
      </c>
      <c r="C36" s="22" t="str">
        <v>SOT-23-5；逻辑类型:与门；通道数:1；工作电压:1.65V~5.5V；静态电流(Iq):10uA；传播延迟(tpd):4ns@5V,50pF</v>
      </c>
      <c r="D36" s="24" t="n">
        <v>1</v>
      </c>
      <c r="E36" s="24" t="n">
        <v>0</v>
      </c>
      <c r="F36" s="24" t="n">
        <f>D36*$B$4+E36*$D$4</f>
        <v>1</v>
      </c>
      <c r="G36" s="22" t="str">
        <v>U5</v>
      </c>
      <c r="H36" s="22"/>
      <c r="I36" s="22" t="str">
        <v>深圳市德明电子贸易商城</v>
      </c>
      <c r="J36" s="21" t="str">
        <f>HYPERLINK("https://item.taobao.com/item.htm?id=902117985110","打开订单商品")</f>
        <v>打开订单商品</v>
      </c>
      <c r="K36" s="22" t="str">
        <v>SN74LVC1G08DBVR;5个全国包邮</v>
      </c>
      <c r="L36" s="25" t="n">
        <v>5</v>
      </c>
      <c r="M36" s="25" t="n">
        <f>ROUNDUP(F36/L36,0)</f>
        <v>1</v>
      </c>
      <c r="N36" s="21" t="str">
        <f>HYPERLINK("https://www.lcsc.com/product-detail/C7666.html","查看工程型号")</f>
        <v>查看工程型号</v>
      </c>
      <c r="O36" s="22" t="str">
        <v>SN74LVC1G08DBVR / SOT-23-5 与门，按同页对应型号选项购买。</v>
      </c>
      <c r="P36"/>
      <c r="Q36"/>
    </row>
    <row r="37" ht="64" customHeight="1">
      <c r="A37" s="3" t="str">
        <v>半导体</v>
      </c>
      <c r="B37" s="22" t="str">
        <v>SN74LVC1G125DBVR-TP</v>
      </c>
      <c r="C37" s="22" t="str">
        <v>SOT-23-5；输入类型:-；工作电压:1.65V~5.5V；元件数:1；每个元件位数:-；灌电流(IOL):24mA；拉电流(IOH):24mA</v>
      </c>
      <c r="D37" s="24" t="n">
        <v>1</v>
      </c>
      <c r="E37" s="24" t="n">
        <v>0</v>
      </c>
      <c r="F37" s="24" t="n">
        <f>D37*$B$4+E37*$D$4</f>
        <v>1</v>
      </c>
      <c r="G37" s="22" t="str">
        <v>U6</v>
      </c>
      <c r="H37" s="22"/>
      <c r="I37" s="22" t="str">
        <v>深圳市德明电子贸易商城</v>
      </c>
      <c r="J37" s="21" t="str">
        <f>HYPERLINK("https://item.taobao.com/item.htm?id=902117985110","打开订单商品")</f>
        <v>打开订单商品</v>
      </c>
      <c r="K37" s="22" t="str">
        <v>SN74LVC1G125DBVR;5个全国包邮</v>
      </c>
      <c r="L37" s="25" t="n">
        <v>5</v>
      </c>
      <c r="M37" s="25" t="n">
        <f>ROUNDUP(F37/L37,0)</f>
        <v>1</v>
      </c>
      <c r="N37" s="21" t="str">
        <f>HYPERLINK("https://item.szlcsc.com/3597950.html","查看工程型号")</f>
        <v>查看工程型号</v>
      </c>
      <c r="O37" s="22" t="str">
        <v>实际使用：SN74LVC1G125DBVR / SOT-23-5，5个包装。</v>
      </c>
      <c r="P37"/>
      <c r="Q37"/>
    </row>
    <row r="38" ht="64" customHeight="1">
      <c r="A38" s="3" t="str">
        <v>半导体</v>
      </c>
      <c r="B38" s="22" t="str">
        <v>SN74LVC1G126DBVR</v>
      </c>
      <c r="C38" s="22" t="str">
        <v>SOT-23-5；输入类型:-；工作电压:1.65V~5.5V；元件数:1；每个元件位数:1；灌电流(IOL):32mA；拉电流(IOH):32mA</v>
      </c>
      <c r="D38" s="24" t="n">
        <v>1</v>
      </c>
      <c r="E38" s="24" t="n">
        <v>0</v>
      </c>
      <c r="F38" s="24" t="n">
        <f>D38*$B$4+E38*$D$4</f>
        <v>1</v>
      </c>
      <c r="G38" s="22" t="str">
        <v>U7</v>
      </c>
      <c r="H38" s="22"/>
      <c r="I38" s="22" t="str">
        <v>深圳市德明电子贸易商城</v>
      </c>
      <c r="J38" s="21" t="str">
        <f>HYPERLINK("https://item.taobao.com/item.htm?id=902117985110","打开订单商品")</f>
        <v>打开订单商品</v>
      </c>
      <c r="K38" s="22" t="str">
        <v>SN74LVC1G126DBVR;5个全国包邮</v>
      </c>
      <c r="L38" s="25" t="n">
        <v>5</v>
      </c>
      <c r="M38" s="25" t="n">
        <f>ROUNDUP(F38/L38,0)</f>
        <v>1</v>
      </c>
      <c r="N38" s="21" t="str">
        <f>HYPERLINK("https://www.lcsc.com/product-detail/C7834.html","查看工程型号")</f>
        <v>查看工程型号</v>
      </c>
      <c r="O38" s="22" t="str">
        <v>实际使用：SN74LVC1G126DBVR / SOT-23-5，5个包装。</v>
      </c>
      <c r="P38"/>
      <c r="Q38"/>
    </row>
    <row r="39" ht="64" customHeight="1">
      <c r="A39" s="3" t="str">
        <v>半导体</v>
      </c>
      <c r="B39" s="22" t="str">
        <v>AP63205WU-7</v>
      </c>
      <c r="C39" s="22" t="str">
        <v>TSOT-23-6；功能类型:降压型；工作电压:3.8V~32V；输出电压:5V；输出电流:2A；输出类型:固定</v>
      </c>
      <c r="D39" s="24" t="n">
        <v>1</v>
      </c>
      <c r="E39" s="24" t="n">
        <v>0</v>
      </c>
      <c r="F39" s="24" t="n">
        <f>D39*$B$4+E39*$D$4</f>
        <v>1</v>
      </c>
      <c r="G39" s="22" t="str">
        <v>U9</v>
      </c>
      <c r="H39" s="22"/>
      <c r="I39" s="22" t="str">
        <v>深圳市远大芯程科技</v>
      </c>
      <c r="J39" s="21" t="str">
        <f>HYPERLINK("https://item.taobao.com/item.htm?id=969642590399","打开订单商品")</f>
        <v>打开订单商品</v>
      </c>
      <c r="K39" s="22" t="str">
        <v>AP63205WU-7</v>
      </c>
      <c r="L39" s="25" t="n">
        <v>1</v>
      </c>
      <c r="M39" s="25" t="n">
        <f>ROUNDUP(F39/L39,0)</f>
        <v>1</v>
      </c>
      <c r="N39" s="21" t="str">
        <f>HYPERLINK("https://item.szlcsc.com/2162639.html","查看工程型号")</f>
        <v>查看工程型号</v>
      </c>
      <c r="O39" s="22" t="str">
        <v>AP63205WU-7，固定5V降压芯片，按对应完整型号购买。</v>
      </c>
      <c r="P39"/>
      <c r="Q39"/>
    </row>
    <row r="40" ht="64" customHeight="1">
      <c r="A40" s="3" t="str">
        <v>半导体</v>
      </c>
      <c r="B40" s="22" t="str">
        <v>LM5050MKX-1/NOPB</v>
      </c>
      <c r="C40" s="22" t="str">
        <v>TSOT-23-6；LM5050-1 5V 至 75V、400uA IQ ORing FET 控制器</v>
      </c>
      <c r="D40" s="24" t="n">
        <v>1</v>
      </c>
      <c r="E40" s="24" t="n">
        <v>0</v>
      </c>
      <c r="F40" s="24" t="n">
        <f>D40*$B$4+E40*$D$4</f>
        <v>1</v>
      </c>
      <c r="G40" s="22" t="str">
        <v>U10</v>
      </c>
      <c r="H40" s="22"/>
      <c r="I40" s="22" t="str">
        <v>深圳市安芯选电子</v>
      </c>
      <c r="J40" s="21" t="str">
        <f>HYPERLINK("https://item.taobao.com/item.htm?id=1013388982214","打开订单商品")</f>
        <v>打开订单商品</v>
      </c>
      <c r="K40" s="22" t="str">
        <v>SOT-23;LM5050MKX-1/NOPB  原装正品</v>
      </c>
      <c r="L40" s="25" t="n">
        <v>1</v>
      </c>
      <c r="M40" s="25" t="n">
        <f>ROUNDUP(F40/L40,0)</f>
        <v>1</v>
      </c>
      <c r="N40" s="21" t="str">
        <f>HYPERLINK("https://www.lcsc.com/product-detail/C473393.html","查看工程型号")</f>
        <v>查看工程型号</v>
      </c>
      <c r="O40" s="22" t="str">
        <v>LM5050MKX-1/NOPB，按完整型号购买。</v>
      </c>
      <c r="P40"/>
      <c r="Q40"/>
    </row>
    <row r="41" ht="64" customHeight="1">
      <c r="A41" s="3" t="str">
        <v>晶振</v>
      </c>
      <c r="B41" s="22" t="str">
        <v>OT3EL89CJI-111YLC-12M</v>
      </c>
      <c r="C41" s="22" t="str">
        <v>SMD2520-4P；12MHz</v>
      </c>
      <c r="D41" s="24" t="n">
        <v>1</v>
      </c>
      <c r="E41" s="24" t="n">
        <v>0</v>
      </c>
      <c r="F41" s="24" t="n">
        <f>D41*$B$4+E41*$D$4</f>
        <v>1</v>
      </c>
      <c r="G41" s="22" t="str">
        <v>Y1</v>
      </c>
      <c r="H41" s="22"/>
      <c r="I41" s="22" t="str">
        <v>深圳市晶诺源电子</v>
      </c>
      <c r="J41" s="21" t="str">
        <f>HYPERLINK("https://item.taobao.com/item.htm?id=944053669860","打开订单商品")</f>
        <v>打开订单商品</v>
      </c>
      <c r="K41" s="22" t="str">
        <v>12MHZ 1.2V~3.36V宽压[高精度10PPM];SMD2520-4P CMOS输出</v>
      </c>
      <c r="L41" s="25" t="n">
        <v>1</v>
      </c>
      <c r="M41" s="25" t="n">
        <f>ROUNDUP(F41/L41,0)</f>
        <v>1</v>
      </c>
      <c r="N41" s="21" t="str">
        <f>HYPERLINK("https://item.szlcsc.com/8414369.html","查看工程型号")</f>
        <v>查看工程型号</v>
      </c>
      <c r="O41" s="22" t="str">
        <v>实际使用：12MHz、2520-4P、CMOS输出有源晶振，宽压1.2V~3.36V（订单标称）。</v>
      </c>
      <c r="P41"/>
      <c r="Q41"/>
    </row>
    <row r="42" ht="64" customHeight="1">
      <c r="A42" s="3" t="str">
        <v>电容</v>
      </c>
      <c r="B42" s="22" t="str">
        <v>CL21A475KAQNNNE</v>
      </c>
      <c r="C42" s="22" t="str">
        <v>0805；4.7uF / ±10% / 25V / X5R</v>
      </c>
      <c r="D42" s="24" t="n">
        <v>0</v>
      </c>
      <c r="E42" s="24" t="n">
        <v>2</v>
      </c>
      <c r="F42" s="24" t="n">
        <f>D42*$B$4+E42*$D$4</f>
        <v>2</v>
      </c>
      <c r="G42" s="22"/>
      <c r="H42" s="22" t="str">
        <v>C1, C3</v>
      </c>
      <c r="I42" s="22" t="str">
        <v>深圳市宏宸电子</v>
      </c>
      <c r="J42" s="21" t="str">
        <f>HYPERLINK("https://item.taobao.com/item.htm?id=977236759812","打开订单商品")</f>
        <v>打开订单商品</v>
      </c>
      <c r="K42" s="22" t="str">
        <v>0805 4.7UF ±10% X7R;25V</v>
      </c>
      <c r="L42" s="25" t="n">
        <v>1</v>
      </c>
      <c r="M42" s="25" t="n">
        <f>ROUNDUP(F42/L42,0)</f>
        <v>2</v>
      </c>
      <c r="N42" s="21" t="str">
        <f>HYPERLINK("https://www.lcsc.com/product-detail/C1779.html","查看工程型号")</f>
        <v>查看工程型号</v>
      </c>
      <c r="O42" s="22" t="str">
        <v>实际采购：0805 / 4.7uF / ±10% / 25V / X7R。</v>
      </c>
      <c r="P42"/>
      <c r="Q42"/>
    </row>
    <row r="43" ht="64" customHeight="1">
      <c r="A43" s="3" t="str">
        <v>电容</v>
      </c>
      <c r="B43" s="22" t="str">
        <v>CL10B104JB8NNNC</v>
      </c>
      <c r="C43" s="22" t="str">
        <v>0603；100nF / ±5% / 50V / X7R</v>
      </c>
      <c r="D43" s="24" t="n">
        <v>0</v>
      </c>
      <c r="E43" s="24" t="n">
        <v>6</v>
      </c>
      <c r="F43" s="24" t="n">
        <f>D43*$B$4+E43*$D$4</f>
        <v>6</v>
      </c>
      <c r="G43" s="22"/>
      <c r="H43" s="22" t="str">
        <v>C2, C4, C5, C7, C8, C10</v>
      </c>
      <c r="I43" s="22" t="str">
        <v>深圳市宏宸电子</v>
      </c>
      <c r="J43" s="21" t="str">
        <f>HYPERLINK("https://item.taobao.com/item.htm?id=731471380840","打开订单商品")</f>
        <v>打开订单商品</v>
      </c>
      <c r="K43" s="22" t="str">
        <v>0603 100nF ±10% X7R;50V;100个</v>
      </c>
      <c r="L43" s="25" t="n">
        <v>100</v>
      </c>
      <c r="M43" s="25" t="n">
        <f>ROUNDUP(F43/L43,0)</f>
        <v>1</v>
      </c>
      <c r="N43" s="21" t="str">
        <f>HYPERLINK("https://item.szlcsc.com/25192.html","查看工程型号")</f>
        <v>查看工程型号</v>
      </c>
      <c r="O43" s="22" t="str">
        <v>实际采购：0603 / 100nF / ±10% / 50V / X7R。</v>
      </c>
      <c r="P43"/>
      <c r="Q43"/>
    </row>
    <row r="44" ht="64" customHeight="1">
      <c r="A44" s="3" t="str">
        <v>电容</v>
      </c>
      <c r="B44" s="22" t="str">
        <v>CL10A105KB8NNNC</v>
      </c>
      <c r="C44" s="22" t="str">
        <v>0603；1uF / ±10% / 50V / X5R</v>
      </c>
      <c r="D44" s="24" t="n">
        <v>0</v>
      </c>
      <c r="E44" s="24" t="n">
        <v>2</v>
      </c>
      <c r="F44" s="24" t="n">
        <f>D44*$B$4+E44*$D$4</f>
        <v>2</v>
      </c>
      <c r="G44" s="22"/>
      <c r="H44" s="22" t="str">
        <v>C6, C9</v>
      </c>
      <c r="I44" s="22" t="str">
        <v>深圳市宏宸电子</v>
      </c>
      <c r="J44" s="21" t="str">
        <f>HYPERLINK("https://item.taobao.com/item.htm?id=630712731066","打开订单商品")</f>
        <v>打开订单商品</v>
      </c>
      <c r="K44" s="22" t="str">
        <v>0603 1uF ±10% X7R;50V</v>
      </c>
      <c r="L44" s="25" t="n">
        <v>1</v>
      </c>
      <c r="M44" s="25" t="n">
        <f>ROUNDUP(F44/L44,0)</f>
        <v>2</v>
      </c>
      <c r="N44" s="21" t="str">
        <f>HYPERLINK("https://item.szlcsc.com/16531.html","查看工程型号")</f>
        <v>查看工程型号</v>
      </c>
      <c r="O44" s="22" t="str">
        <v>实际采购：0603 / 1uF / ±10% / 50V / X7R。</v>
      </c>
      <c r="P44"/>
      <c r="Q44"/>
    </row>
    <row r="45" ht="64" customHeight="1">
      <c r="A45" s="3" t="str">
        <v>半导体</v>
      </c>
      <c r="B45" s="22" t="str">
        <v>PESD5V0S1BA</v>
      </c>
      <c r="C45" s="22" t="str">
        <v>SOD-323；反向截止电压(Vrwm):5V@Max；最大钳位电压:10V；峰值脉冲电流(Ipp)@10/1000us:5A@8/20us；击穿电压:5.8V</v>
      </c>
      <c r="D45" s="24" t="n">
        <v>0</v>
      </c>
      <c r="E45" s="24" t="n">
        <v>1</v>
      </c>
      <c r="F45" s="24" t="n">
        <f>D45*$B$4+E45*$D$4</f>
        <v>1</v>
      </c>
      <c r="G45" s="22"/>
      <c r="H45" s="22" t="str">
        <v>D1</v>
      </c>
      <c r="I45" s="22" t="str">
        <v>深圳市优信电子科技有限公司</v>
      </c>
      <c r="J45" s="21" t="str">
        <f>HYPERLINK("https://item.taobao.com/item.htm?id=891785167202","打开订单商品")</f>
        <v>打开订单商品</v>
      </c>
      <c r="K45" s="22" t="str">
        <v>商品无选项，按商品标题完整型号购买</v>
      </c>
      <c r="L45" s="25" t="n">
        <v>1</v>
      </c>
      <c r="M45" s="25" t="n">
        <f>ROUNDUP(F45/L45,0)</f>
        <v>1</v>
      </c>
      <c r="N45" s="21" t="str">
        <f>HYPERLINK("https://www.lcsc.com/product-detail/C330094.html","查看工程型号")</f>
        <v>查看工程型号</v>
      </c>
      <c r="O45" s="22" t="str">
        <v>PESD5V0S1BA / SOD-323 双向TVS，按商品完整型号购买。</v>
      </c>
      <c r="P45"/>
      <c r="Q45"/>
    </row>
    <row r="46" ht="64" customHeight="1">
      <c r="A46" s="3" t="str">
        <v>半导体</v>
      </c>
      <c r="B46" s="22" t="str">
        <v>19-217/GHC-YR1S2/3T</v>
      </c>
      <c r="C46" s="22" t="str">
        <v>0603；110mW</v>
      </c>
      <c r="D46" s="24" t="n">
        <v>0</v>
      </c>
      <c r="E46" s="24" t="n">
        <v>1</v>
      </c>
      <c r="F46" s="24" t="n">
        <f>D46*$B$4+E46*$D$4</f>
        <v>1</v>
      </c>
      <c r="G46" s="22"/>
      <c r="H46" s="22" t="str">
        <v>D2</v>
      </c>
      <c r="I46" s="22" t="str">
        <v>泰辰电子</v>
      </c>
      <c r="J46" s="21" t="str">
        <f>HYPERLINK("https://item.taobao.com/item.htm?id=1025817117811","打开订单商品")</f>
        <v>打开订单商品</v>
      </c>
      <c r="K46" s="22" t="str">
        <v>0603 蓝色=100个</v>
      </c>
      <c r="L46" s="25" t="n">
        <v>100</v>
      </c>
      <c r="M46" s="25" t="n">
        <f>ROUNDUP(F46/L46,0)</f>
        <v>1</v>
      </c>
      <c r="N46" s="21" t="str">
        <f>HYPERLINK("https://www.lcsc.com/product-detail/Light-Emitting-Diodes-LED_Everlight-Elec-19-217-GHC-YR1S2-3T_C72043.html","查看工程型号")</f>
        <v>查看工程型号</v>
      </c>
      <c r="O46" s="22" t="str">
        <v>实际采购：0603 蓝色LED，100个包装。</v>
      </c>
      <c r="P46"/>
      <c r="Q46"/>
    </row>
    <row r="47" ht="64" customHeight="1">
      <c r="A47" s="3" t="str">
        <v>连接器</v>
      </c>
      <c r="B47" s="22" t="str">
        <v>PZ254V-11-05P</v>
      </c>
      <c r="C47" s="22" t="str">
        <v>插件,P=2.54mm；3A</v>
      </c>
      <c r="D47" s="24" t="n">
        <v>0</v>
      </c>
      <c r="E47" s="24" t="n">
        <v>1</v>
      </c>
      <c r="F47" s="24" t="n">
        <f>D47*$B$4+E47*$D$4</f>
        <v>1</v>
      </c>
      <c r="G47" s="22"/>
      <c r="H47" s="22" t="str">
        <v>J2</v>
      </c>
      <c r="I47" s="22" t="str">
        <v>zxin旗舰店</v>
      </c>
      <c r="J47" s="21" t="str">
        <f>HYPERLINK("https://item.taobao.com/item.htm?id=606816197525","打开订单商品")</f>
        <v>打开订单商品</v>
      </c>
      <c r="K47" s="22" t="str">
        <v>1*5P直针 铜（30条）</v>
      </c>
      <c r="L47" s="25" t="n">
        <v>30</v>
      </c>
      <c r="M47" s="25" t="n">
        <f>ROUNDUP(F47/L47,0)</f>
        <v>1</v>
      </c>
      <c r="N47" s="21" t="str">
        <f>HYPERLINK("https://item.szlcsc.com/502960.html","查看工程型号")</f>
        <v>查看工程型号</v>
      </c>
      <c r="O47" s="22" t="str">
        <v>1×5P / 2.54mm 直排针，用于SWD烧录口。</v>
      </c>
      <c r="P47"/>
      <c r="Q47"/>
    </row>
    <row r="48" ht="64" customHeight="1">
      <c r="A48" s="3" t="str">
        <v>电阻</v>
      </c>
      <c r="B48" s="22" t="str">
        <v>RC0603FR-07100KL</v>
      </c>
      <c r="C48" s="22" t="str">
        <v>0603；100kΩ / ±1% / ±100ppm/℃ / 100mW</v>
      </c>
      <c r="D48" s="24" t="n">
        <v>0</v>
      </c>
      <c r="E48" s="24" t="n">
        <v>1</v>
      </c>
      <c r="F48" s="24" t="n">
        <f>D48*$B$4+E48*$D$4</f>
        <v>1</v>
      </c>
      <c r="G48" s="22"/>
      <c r="H48" s="22" t="str">
        <v>R3</v>
      </c>
      <c r="I48" s="22" t="str">
        <v>深圳市永芯泰电子企业店</v>
      </c>
      <c r="J48" s="21" t="str">
        <f>HYPERLINK("https://item.taobao.com/item.htm?id=947267344247","打开订单商品")</f>
        <v>打开订单商品</v>
      </c>
      <c r="K48" s="22" t="str">
        <v>100K;0603 1%（100个）</v>
      </c>
      <c r="L48" s="25" t="n">
        <v>100</v>
      </c>
      <c r="M48" s="25" t="n">
        <f>ROUNDUP(F48/L48,0)</f>
        <v>1</v>
      </c>
      <c r="N48" s="21" t="str">
        <f>HYPERLINK("https://item.szlcsc.com/15343.html","查看工程型号")</f>
        <v>查看工程型号</v>
      </c>
      <c r="O48" s="22" t="str">
        <v>100kΩ / ±1% / 0603。</v>
      </c>
      <c r="P48"/>
      <c r="Q48"/>
    </row>
    <row r="49" ht="64" customHeight="1">
      <c r="A49" s="3" t="str">
        <v>电阻</v>
      </c>
      <c r="B49" s="22" t="str">
        <v>0603WAF330JT5E</v>
      </c>
      <c r="C49" s="22" t="str">
        <v>0603；33Ω / ±1% / ±100ppm/℃ / 100mW</v>
      </c>
      <c r="D49" s="24" t="n">
        <v>0</v>
      </c>
      <c r="E49" s="24" t="n">
        <v>1</v>
      </c>
      <c r="F49" s="24" t="n">
        <f>D49*$B$4+E49*$D$4</f>
        <v>1</v>
      </c>
      <c r="G49" s="22"/>
      <c r="H49" s="22" t="str">
        <v>R6</v>
      </c>
      <c r="I49" s="22" t="str">
        <v>深圳市永芯泰电子企业店</v>
      </c>
      <c r="J49" s="21" t="str">
        <f>HYPERLINK("https://item.taobao.com/item.htm?id=947267344247","打开订单商品")</f>
        <v>打开订单商品</v>
      </c>
      <c r="K49" s="22" t="str">
        <v>33R/33欧;0603 1%（100个）</v>
      </c>
      <c r="L49" s="25" t="n">
        <v>100</v>
      </c>
      <c r="M49" s="25" t="n">
        <f>ROUNDUP(F49/L49,0)</f>
        <v>1</v>
      </c>
      <c r="N49" s="21" t="str">
        <f>HYPERLINK("https://item.szlcsc.com/23867.html","查看工程型号")</f>
        <v>查看工程型号</v>
      </c>
      <c r="O49" s="22" t="str">
        <v>33Ω / ±1% / 0603，用于IMU R6。</v>
      </c>
      <c r="P49"/>
      <c r="Q49"/>
    </row>
    <row r="50" ht="64" customHeight="1">
      <c r="A50" s="3" t="str">
        <v>电阻</v>
      </c>
      <c r="B50" s="22" t="str">
        <v>0603WAF1001T5E</v>
      </c>
      <c r="C50" s="22" t="str">
        <v>0603；1kΩ / ±1% / ±100ppm/℃ / 100mW</v>
      </c>
      <c r="D50" s="24" t="n">
        <v>0</v>
      </c>
      <c r="E50" s="24" t="n">
        <v>1</v>
      </c>
      <c r="F50" s="24" t="n">
        <f>D50*$B$4+E50*$D$4</f>
        <v>1</v>
      </c>
      <c r="G50" s="22"/>
      <c r="H50" s="22" t="str">
        <v>R7</v>
      </c>
      <c r="I50" s="22" t="str">
        <v>深圳市永芯泰电子企业店</v>
      </c>
      <c r="J50" s="21" t="str">
        <f>HYPERLINK("https://item.taobao.com/item.htm?id=947267344247","打开订单商品")</f>
        <v>打开订单商品</v>
      </c>
      <c r="K50" s="22" t="str">
        <v>1K;0603 1%（100个）</v>
      </c>
      <c r="L50" s="25" t="n">
        <v>100</v>
      </c>
      <c r="M50" s="25" t="n">
        <f>ROUNDUP(F50/L50,0)</f>
        <v>1</v>
      </c>
      <c r="N50" s="21" t="str">
        <f>HYPERLINK("https://item.szlcsc.com/21904.html","查看工程型号")</f>
        <v>查看工程型号</v>
      </c>
      <c r="O50" s="22" t="str">
        <v>1kΩ / ±1% / 0603，八月备料订单。</v>
      </c>
      <c r="P50"/>
      <c r="Q50"/>
    </row>
    <row r="51" ht="64" customHeight="1">
      <c r="A51" s="3" t="str">
        <v>半导体</v>
      </c>
      <c r="B51" s="22" t="str">
        <v>STM32G031F8P6</v>
      </c>
      <c r="C51" s="22" t="str">
        <v>TSSOP-20；CPU内核:ARM Cortex-M0+；CPU最大主频:64MHz；CPU位数:32 Bit</v>
      </c>
      <c r="D51" s="24" t="n">
        <v>0</v>
      </c>
      <c r="E51" s="24" t="n">
        <v>1</v>
      </c>
      <c r="F51" s="24" t="n">
        <f>D51*$B$4+E51*$D$4</f>
        <v>1</v>
      </c>
      <c r="G51" s="22"/>
      <c r="H51" s="22" t="str">
        <v>U1</v>
      </c>
      <c r="I51" s="22" t="str">
        <v>深圳市新纶电子</v>
      </c>
      <c r="J51" s="21" t="str">
        <f>HYPERLINK("https://item.taobao.com/item.htm?id=726808419708","打开订单商品")</f>
        <v>打开订单商品</v>
      </c>
      <c r="K51" s="22" t="str">
        <v>全新原装</v>
      </c>
      <c r="L51" s="25" t="n">
        <v>1</v>
      </c>
      <c r="M51" s="25" t="n">
        <f>ROUNDUP(F51/L51,0)</f>
        <v>1</v>
      </c>
      <c r="N51" s="21" t="str">
        <f>HYPERLINK("https://item.szlcsc.com/549612.html","查看工程型号")</f>
        <v>查看工程型号</v>
      </c>
      <c r="O51" s="22" t="str">
        <v>STM32G031F8P6 / TSSOP-20，按商品完整型号购买。</v>
      </c>
      <c r="P51"/>
      <c r="Q51"/>
    </row>
    <row r="52" ht="64" customHeight="1">
      <c r="A52" s="3" t="str">
        <v>半导体</v>
      </c>
      <c r="B52" s="22" t="str">
        <v>LSM6DSV16XTR</v>
      </c>
      <c r="C52" s="22" t="str">
        <v>LGA-14(2.5x3)；传感器类型:IMU(加速度计+陀螺仪)；接口类型:I2C；SPI</v>
      </c>
      <c r="D52" s="24" t="n">
        <v>0</v>
      </c>
      <c r="E52" s="24" t="n">
        <v>1</v>
      </c>
      <c r="F52" s="24" t="n">
        <f>D52*$B$4+E52*$D$4</f>
        <v>1</v>
      </c>
      <c r="G52" s="22"/>
      <c r="H52" s="22" t="str">
        <v>U2</v>
      </c>
      <c r="I52" s="22" t="str">
        <v>深圳市RTC电子</v>
      </c>
      <c r="J52" s="21" t="str">
        <f>HYPERLINK("https://item.taobao.com/item.htm?id=640391703111","打开订单商品")</f>
        <v>打开订单商品</v>
      </c>
      <c r="K52" s="22" t="str">
        <v>LSM6DSV16XTR</v>
      </c>
      <c r="L52" s="25" t="n">
        <v>1</v>
      </c>
      <c r="M52" s="25" t="n">
        <f>ROUNDUP(F52/L52,0)</f>
        <v>1</v>
      </c>
      <c r="N52" s="21" t="str">
        <f>HYPERLINK("https://item.szlcsc.com/5993815.html","查看工程型号")</f>
        <v>查看工程型号</v>
      </c>
      <c r="O52" s="22" t="str">
        <v>LSM6DSV16XTR / LGA-14，在多型号商品页选择 LSM6DSV16XTR。</v>
      </c>
      <c r="P52"/>
      <c r="Q52"/>
    </row>
    <row r="53" ht="64" customHeight="1">
      <c r="A53" s="3" t="str">
        <v>半导体</v>
      </c>
      <c r="B53" s="22" t="str">
        <v>TLV70433DBVR</v>
      </c>
      <c r="C53" s="22" t="str">
        <v>SOT-23-5；输出极性:正极；工作电压:24V；输出电压:3.3V；输出电流:150mA；电源纹波抑制比(PSRR):60dB@(100kHz)；输出类型:固定</v>
      </c>
      <c r="D53" s="24" t="n">
        <v>0</v>
      </c>
      <c r="E53" s="24" t="n">
        <v>1</v>
      </c>
      <c r="F53" s="24" t="n">
        <f>D53*$B$4+E53*$D$4</f>
        <v>1</v>
      </c>
      <c r="G53" s="22"/>
      <c r="H53" s="22" t="str">
        <v>U3</v>
      </c>
      <c r="I53" s="22" t="str">
        <v>深圳市恒芯科创电子</v>
      </c>
      <c r="J53" s="21" t="str">
        <f>HYPERLINK("https://item.taobao.com/item.htm?id=747094785928","打开订单商品")</f>
        <v>打开订单商品</v>
      </c>
      <c r="K53" s="22" t="str">
        <v>TLV70433DBVR</v>
      </c>
      <c r="L53" s="25" t="n">
        <v>1</v>
      </c>
      <c r="M53" s="25" t="n">
        <f>ROUNDUP(F53/L53,0)</f>
        <v>1</v>
      </c>
      <c r="N53" s="21" t="str">
        <f>HYPERLINK("https://www.lcsc.com/product-detail/C94917.html","查看工程型号")</f>
        <v>查看工程型号</v>
      </c>
      <c r="O53" s="22" t="str">
        <v>TLV70433DBVR / 3.3V / SOT-23-5。</v>
      </c>
      <c r="P53"/>
      <c r="Q53"/>
    </row>
    <row r="54" ht="64" customHeight="1">
      <c r="A54" s="3" t="str">
        <v>半导体</v>
      </c>
      <c r="B54" s="22" t="str">
        <v>SN74LVC2G125DCUR</v>
      </c>
      <c r="C54" s="22" t="str">
        <v>VSSOP-8；输入类型:-；工作电压:1.65V~5.5V；元件数:2；每个元件位数:1；灌电流(IOL):32mA；拉电流(IOH):32mA</v>
      </c>
      <c r="D54" s="24" t="n">
        <v>0</v>
      </c>
      <c r="E54" s="24" t="n">
        <v>1</v>
      </c>
      <c r="F54" s="24" t="n">
        <f>D54*$B$4+E54*$D$4</f>
        <v>1</v>
      </c>
      <c r="G54" s="22"/>
      <c r="H54" s="22" t="str">
        <v>U4</v>
      </c>
      <c r="I54" s="22" t="str">
        <v>深圳市垚鑫电子科技</v>
      </c>
      <c r="J54" s="21" t="str">
        <f>HYPERLINK("https://item.taobao.com/item.htm?id=705642638300","打开订单商品")</f>
        <v>打开订单商品</v>
      </c>
      <c r="K54" s="22" t="str">
        <v>商品无选项，按商品标题完整型号购买</v>
      </c>
      <c r="L54" s="25" t="n">
        <v>1</v>
      </c>
      <c r="M54" s="25" t="n">
        <f>ROUNDUP(F54/L54,0)</f>
        <v>1</v>
      </c>
      <c r="N54" s="21" t="str">
        <f>HYPERLINK("https://www.lcsc.com/product-detail/C21404.html","查看工程型号")</f>
        <v>查看工程型号</v>
      </c>
      <c r="O54" s="22" t="str">
        <v>SN74LVC2G125DCUR / VSSOP-8，按商品完整型号购买。</v>
      </c>
      <c r="P54"/>
      <c r="Q54"/>
    </row>
  </sheetData>
  <dataValidations count="2">
    <dataValidation type="whole" operator="between" sqref="B4">
      <formula1>0</formula1>
      <formula2>10000</formula2>
    </dataValidation>
    <dataValidation type="whole" operator="between" sqref="D4">
      <formula1>0</formula1>
      <formula2>10000</formula2>
    </dataValidation>
  </dataValidations>
  <pageMargins left="0.7" right="0.7" top="0.75" bottom="0.75" header="0.3" footer="0.3"/>
  <tableParts count="1">
    <tablePart r:id="R6688278efb254b7e"/>
  </tableParts>
</worksheet>
</file>

<file path=xl/worksheets/sheet2.xml><?xml version="1.0" encoding="utf-8"?>
<worksheet xmlns="http://schemas.openxmlformats.org/spreadsheetml/2006/main" xmlns:r="http://schemas.openxmlformats.org/officeDocument/2006/relationships">
  <sheetPr>
    <tabColor rgb="FF476183"/>
  </sheetPr>
  <sheetViews>
    <sheetView showGridLines="0" workbookViewId="0">
      <pane xSplit="2" ySplit="7" topLeftCell="C8" activePane="bottomRight" state="frozen"/>
    </sheetView>
  </sheetViews>
  <sheetFormatPr defaultRowHeight="15"/>
  <cols>
    <col min="1" max="1" width="9" hidden="0" customWidth="1"/>
    <col min="2" max="2" width="34" hidden="0" customWidth="1"/>
    <col min="3" max="3" width="35" hidden="0" customWidth="1"/>
    <col min="4" max="4" width="16" hidden="0" customWidth="1"/>
    <col min="5" max="5" width="24" hidden="0" customWidth="1"/>
    <col min="6" max="6" width="49" hidden="0" customWidth="1"/>
    <col min="7" max="7" width="48" hidden="0" customWidth="1"/>
    <col min="8" max="8" width="19" hidden="0" customWidth="1"/>
    <col min="9" max="9" width="20" hidden="0" customWidth="1"/>
    <col min="10" max="10" width="65" hidden="0" customWidth="1"/>
    <col min="11" max="11" width="32" hidden="0" customWidth="1"/>
    <col min="12" max="12" width="65" hidden="0" customWidth="1"/>
    <col min="13" max="13" width="32" hidden="0" customWidth="1"/>
  </cols>
  <sheetData>
    <row r="1" ht="24" customHeight="1">
      <c r="A1" s="3"/>
      <c r="B1" s="3"/>
      <c r="C1" s="3"/>
      <c r="D1" s="3"/>
      <c r="E1" s="3"/>
      <c r="F1" s="3"/>
      <c r="G1" s="3"/>
      <c r="H1" s="3"/>
      <c r="I1" s="3"/>
      <c r="J1" s="3"/>
      <c r="K1" s="3"/>
      <c r="L1"/>
      <c r="M1"/>
    </row>
    <row r="2" ht="30" customHeight="1">
      <c r="A2" s="5" t="str">
        <v>HAT 位号 BOM</v>
      </c>
      <c r="B2" s="6"/>
      <c r="C2" s="6"/>
      <c r="D2" s="6"/>
      <c r="E2" s="6"/>
      <c r="F2" s="6"/>
      <c r="G2" s="6"/>
      <c r="H2" s="6"/>
      <c r="I2" s="6"/>
      <c r="J2" s="6"/>
      <c r="K2" s="6"/>
      <c r="L2"/>
      <c r="M2"/>
    </row>
    <row r="3" ht="24" customHeight="1">
      <c r="A3" s="7" t="str">
        <v>源：HAT-V5.epro2 / PCB2；84 个器件，工程原始属性保留。</v>
      </c>
      <c r="B3" s="3"/>
      <c r="C3" s="3"/>
      <c r="D3" s="3"/>
      <c r="E3" s="3"/>
      <c r="F3" s="3"/>
      <c r="G3" s="3"/>
      <c r="H3" s="3"/>
      <c r="I3" s="3"/>
      <c r="J3" s="3"/>
      <c r="K3" s="3"/>
      <c r="L3"/>
      <c r="M3"/>
    </row>
    <row r="4" ht="24" customHeight="1">
      <c r="A4" s="3" t="str">
        <v>R33：工程 150Ω → 后续补丁 0Ω / C21189。TH1：工程 100Ω PTC → 实机记录 22Ω 电阻。</v>
      </c>
      <c r="B4" s="3"/>
      <c r="C4" s="3"/>
      <c r="D4" s="3"/>
      <c r="E4" s="3"/>
      <c r="F4" s="3"/>
      <c r="G4" s="3"/>
      <c r="H4" s="3"/>
      <c r="I4" s="3"/>
      <c r="J4" s="3"/>
      <c r="K4" s="3"/>
      <c r="L4"/>
      <c r="M4"/>
    </row>
    <row r="5" ht="24" customHeight="1">
      <c r="A5" s="3" t="str">
        <v>C8/C9 为 220pF（已修正）；C15 为 1206 / 10uF / 35V。</v>
      </c>
      <c r="B5" s="3"/>
      <c r="C5" s="3"/>
      <c r="D5" s="3"/>
      <c r="E5" s="3"/>
      <c r="F5" s="3"/>
      <c r="G5" s="3"/>
      <c r="H5" s="3"/>
      <c r="I5" s="3"/>
      <c r="J5" s="3"/>
      <c r="K5" s="3"/>
      <c r="L5"/>
      <c r="M5"/>
    </row>
    <row r="6" ht="24" customHeight="1">
      <c r="A6" s="3" t="str">
        <v>器件用量按实际位号统计，采购商品已在作者实机验证可用。</v>
      </c>
      <c r="B6" s="3"/>
      <c r="C6" s="3"/>
      <c r="D6" s="3"/>
      <c r="E6" s="3"/>
      <c r="F6" s="3"/>
      <c r="G6" s="3"/>
      <c r="H6" s="3"/>
      <c r="I6" s="3"/>
      <c r="J6" s="3"/>
      <c r="K6" s="3"/>
      <c r="L6"/>
      <c r="M6"/>
    </row>
    <row r="7" ht="34" customHeight="1">
      <c r="A7" s="16" t="str">
        <v>位号</v>
      </c>
      <c r="B7" s="17" t="str">
        <v>用途 / 位号原文</v>
      </c>
      <c r="C7" s="17" t="str">
        <v>工程完整型号</v>
      </c>
      <c r="D7" s="17" t="str">
        <v>工程立创料号</v>
      </c>
      <c r="E7" s="17" t="str">
        <v>工程封装</v>
      </c>
      <c r="F7" s="17" t="str">
        <v>工程关键参数</v>
      </c>
      <c r="G7" s="17" t="str">
        <v>当前采购规格 / 订单款式</v>
      </c>
      <c r="H7" s="17" t="str">
        <v>订单商品链接</v>
      </c>
      <c r="I7" s="17" t="str">
        <v>工程BOM型号链接</v>
      </c>
      <c r="J7" s="17" t="str">
        <v>用料说明</v>
      </c>
      <c r="K7" s="18" t="str">
        <v>工程来源</v>
      </c>
      <c r="L7"/>
      <c r="M7"/>
    </row>
    <row r="8" ht="64" customHeight="1">
      <c r="A8" s="3" t="str">
        <v>C1</v>
      </c>
      <c r="B8" s="22" t="str">
        <v>1uF / left AC coupling</v>
      </c>
      <c r="C8" s="22" t="str">
        <v>CC0603KRX5R9BB105</v>
      </c>
      <c r="D8" s="3" t="str">
        <v>C128624</v>
      </c>
      <c r="E8" s="22" t="str">
        <v>0603</v>
      </c>
      <c r="F8" s="22" t="str">
        <v>1uF / ±10% / 50V / X5R</v>
      </c>
      <c r="G8" s="22" t="str">
        <v>0603 1uF ±10% X7R;50V</v>
      </c>
      <c r="H8" s="21" t="str">
        <f>HYPERLINK("https://item.taobao.com/item.htm?id=630712731066","打开订单商品")</f>
        <v>打开订单商品</v>
      </c>
      <c r="I8" s="21" t="str">
        <f>HYPERLINK("https://www.lcsc.com/product-detail/C128624.html","查看工程型号")</f>
        <v>查看工程型号</v>
      </c>
      <c r="J8" s="22" t="str">
        <v>实际采购：0603 / 1uF / ±10% / 50V / X7R。</v>
      </c>
      <c r="K8" s="22" t="str">
        <v>HAT-V5.epro2 / PCB2</v>
      </c>
      <c r="L8"/>
      <c r="M8"/>
    </row>
    <row r="9" ht="64" customHeight="1">
      <c r="A9" s="3" t="str">
        <v>C2</v>
      </c>
      <c r="B9" s="22" t="str">
        <v>1uF / right AC coupling</v>
      </c>
      <c r="C9" s="22" t="str">
        <v>CC0603KRX5R9BB105</v>
      </c>
      <c r="D9" s="3" t="str">
        <v>C128624</v>
      </c>
      <c r="E9" s="22" t="str">
        <v>0603</v>
      </c>
      <c r="F9" s="22" t="str">
        <v>1uF / ±10% / 50V / X5R</v>
      </c>
      <c r="G9" s="22" t="str">
        <v>0603 1uF ±10% X7R;50V</v>
      </c>
      <c r="H9" s="21" t="str">
        <f>HYPERLINK("https://item.taobao.com/item.htm?id=630712731066","打开订单商品")</f>
        <v>打开订单商品</v>
      </c>
      <c r="I9" s="21" t="str">
        <f>HYPERLINK("https://www.lcsc.com/product-detail/C128624.html","查看工程型号")</f>
        <v>查看工程型号</v>
      </c>
      <c r="J9" s="22" t="str">
        <v>实际采购：0603 / 1uF / ±10% / 50V / X7R。</v>
      </c>
      <c r="K9" s="22" t="str">
        <v>HAT-V5.epro2 / PCB2</v>
      </c>
      <c r="L9"/>
      <c r="M9"/>
    </row>
    <row r="10" ht="64" customHeight="1">
      <c r="A10" s="3" t="str">
        <v>C3</v>
      </c>
      <c r="B10" s="22" t="str">
        <v>1uF / VREF</v>
      </c>
      <c r="C10" s="22" t="str">
        <v>CC0603KRX5R9BB105</v>
      </c>
      <c r="D10" s="3" t="str">
        <v>C128624</v>
      </c>
      <c r="E10" s="22" t="str">
        <v>0603</v>
      </c>
      <c r="F10" s="22" t="str">
        <v>1uF / ±10% / 50V / X5R</v>
      </c>
      <c r="G10" s="22" t="str">
        <v>0603 1uF ±10% X7R;50V</v>
      </c>
      <c r="H10" s="21" t="str">
        <f>HYPERLINK("https://item.taobao.com/item.htm?id=630712731066","打开订单商品")</f>
        <v>打开订单商品</v>
      </c>
      <c r="I10" s="21" t="str">
        <f>HYPERLINK("https://www.lcsc.com/product-detail/C128624.html","查看工程型号")</f>
        <v>查看工程型号</v>
      </c>
      <c r="J10" s="22" t="str">
        <v>实际采购：0603 / 1uF / ±10% / 50V / X7R。</v>
      </c>
      <c r="K10" s="22" t="str">
        <v>HAT-V5.epro2 / PCB2</v>
      </c>
      <c r="L10"/>
      <c r="M10"/>
    </row>
    <row r="11" ht="64" customHeight="1">
      <c r="A11" s="3" t="str">
        <v>C4</v>
      </c>
      <c r="B11" s="22" t="str">
        <v>1uF</v>
      </c>
      <c r="C11" s="22" t="str">
        <v>CC0603KRX5R9BB105</v>
      </c>
      <c r="D11" s="3" t="str">
        <v>C128624</v>
      </c>
      <c r="E11" s="22" t="str">
        <v>0603</v>
      </c>
      <c r="F11" s="22" t="str">
        <v>1uF / ±10% / 50V / X5R</v>
      </c>
      <c r="G11" s="22" t="str">
        <v>0603 1uF ±10% X7R;50V</v>
      </c>
      <c r="H11" s="21" t="str">
        <f>HYPERLINK("https://item.taobao.com/item.htm?id=630712731066","打开订单商品")</f>
        <v>打开订单商品</v>
      </c>
      <c r="I11" s="21" t="str">
        <f>HYPERLINK("https://www.lcsc.com/product-detail/C128624.html","查看工程型号")</f>
        <v>查看工程型号</v>
      </c>
      <c r="J11" s="22" t="str">
        <v>实际采购：0603 / 1uF / ±10% / 50V / X7R。</v>
      </c>
      <c r="K11" s="22" t="str">
        <v>HAT-V5.epro2 / PCB2</v>
      </c>
      <c r="L11"/>
      <c r="M11"/>
    </row>
    <row r="12" ht="64" customHeight="1">
      <c r="A12" s="3" t="str">
        <v>C5</v>
      </c>
      <c r="B12" s="22" t="str">
        <v>10uF</v>
      </c>
      <c r="C12" s="22" t="str">
        <v>C1608X5R1A106KT000E</v>
      </c>
      <c r="D12" s="3" t="str">
        <v>C76608</v>
      </c>
      <c r="E12" s="22" t="str">
        <v>0603</v>
      </c>
      <c r="F12" s="22" t="str">
        <v>10uF / ±10% / 10V / X5R</v>
      </c>
      <c r="G12" s="22" t="str">
        <v>0603 10uF ±10% X5R;10V</v>
      </c>
      <c r="H12" s="21" t="str">
        <f>HYPERLINK("https://item.taobao.com/item.htm?id=630712731066","打开订单商品")</f>
        <v>打开订单商品</v>
      </c>
      <c r="I12" s="21" t="str">
        <f>HYPERLINK("https://item.szlcsc.com/77735.html","查看工程型号")</f>
        <v>查看工程型号</v>
      </c>
      <c r="J12" s="22" t="str">
        <v>实际采购：0603 / 10uF / ±10% / 10V / X5R。</v>
      </c>
      <c r="K12" s="22" t="str">
        <v>HAT-V5.epro2 / PCB2</v>
      </c>
      <c r="L12"/>
      <c r="M12"/>
    </row>
    <row r="13" ht="64" customHeight="1">
      <c r="A13" s="3" t="str">
        <v>C6</v>
      </c>
      <c r="B13" s="22" t="str">
        <v>1uF</v>
      </c>
      <c r="C13" s="22" t="str">
        <v>CC0603KRX5R9BB105</v>
      </c>
      <c r="D13" s="3" t="str">
        <v>C128624</v>
      </c>
      <c r="E13" s="22" t="str">
        <v>0603</v>
      </c>
      <c r="F13" s="22" t="str">
        <v>1uF / ±10% / 50V / X5R</v>
      </c>
      <c r="G13" s="22" t="str">
        <v>0603 1uF ±10% X7R;50V</v>
      </c>
      <c r="H13" s="21" t="str">
        <f>HYPERLINK("https://item.taobao.com/item.htm?id=630712731066","打开订单商品")</f>
        <v>打开订单商品</v>
      </c>
      <c r="I13" s="21" t="str">
        <f>HYPERLINK("https://www.lcsc.com/product-detail/C128624.html","查看工程型号")</f>
        <v>查看工程型号</v>
      </c>
      <c r="J13" s="22" t="str">
        <v>实际采购：0603 / 1uF / ±10% / 50V / X7R。</v>
      </c>
      <c r="K13" s="22" t="str">
        <v>HAT-V5.epro2 / PCB2</v>
      </c>
      <c r="L13"/>
      <c r="M13"/>
    </row>
    <row r="14" ht="64" customHeight="1">
      <c r="A14" s="3" t="str">
        <v>C7</v>
      </c>
      <c r="B14" s="22" t="str">
        <v>10uF</v>
      </c>
      <c r="C14" s="22" t="str">
        <v>C1608X5R1A106KT000E</v>
      </c>
      <c r="D14" s="3" t="str">
        <v>C76608</v>
      </c>
      <c r="E14" s="22" t="str">
        <v>0603</v>
      </c>
      <c r="F14" s="22" t="str">
        <v>10uF / ±10% / 10V / X5R</v>
      </c>
      <c r="G14" s="22" t="str">
        <v>0603 10uF ±10% X5R;10V</v>
      </c>
      <c r="H14" s="21" t="str">
        <f>HYPERLINK("https://item.taobao.com/item.htm?id=630712731066","打开订单商品")</f>
        <v>打开订单商品</v>
      </c>
      <c r="I14" s="21" t="str">
        <f>HYPERLINK("https://item.szlcsc.com/77735.html","查看工程型号")</f>
        <v>查看工程型号</v>
      </c>
      <c r="J14" s="22" t="str">
        <v>实际采购：0603 / 10uF / ±10% / 10V / X5R。</v>
      </c>
      <c r="K14" s="22" t="str">
        <v>HAT-V5.epro2 / PCB2</v>
      </c>
      <c r="L14"/>
      <c r="M14"/>
    </row>
    <row r="15" ht="64" customHeight="1">
      <c r="A15" s="3" t="str">
        <v>C8</v>
      </c>
      <c r="B15" s="22" t="str">
        <v>0603CG221J500NT</v>
      </c>
      <c r="C15" s="22" t="str">
        <v>0603CG221J500NT</v>
      </c>
      <c r="D15" s="3" t="str">
        <v>C156398</v>
      </c>
      <c r="E15" s="22" t="str">
        <v>0603</v>
      </c>
      <c r="F15" s="22" t="str">
        <v>220pF / ±5% / 50V / C0G</v>
      </c>
      <c r="G15" s="22" t="str">
        <v>0603 220pF ±5% NPO/COG;50V;100个</v>
      </c>
      <c r="H15" s="21" t="str">
        <f>HYPERLINK("https://item.taobao.com/item.htm?id=1005108810412","打开订单商品")</f>
        <v>打开订单商品</v>
      </c>
      <c r="I15" s="21" t="str">
        <f>HYPERLINK("https://item.szlcsc.com/167743.html","查看工程型号")</f>
        <v>查看工程型号</v>
      </c>
      <c r="J15" s="22" t="str">
        <v>选 220pF、50V、C0G(NPO)、±5%、0603；同页其他容量分别选购。</v>
      </c>
      <c r="K15" s="22" t="str">
        <v>HAT-V5.epro2 / PCB2</v>
      </c>
      <c r="L15"/>
      <c r="M15"/>
    </row>
    <row r="16" ht="64" customHeight="1">
      <c r="A16" s="3" t="str">
        <v>C9</v>
      </c>
      <c r="B16" s="22" t="str">
        <v>0603CG221J500NT</v>
      </c>
      <c r="C16" s="22" t="str">
        <v>0603CG221J500NT</v>
      </c>
      <c r="D16" s="3" t="str">
        <v>C156398</v>
      </c>
      <c r="E16" s="22" t="str">
        <v>0603</v>
      </c>
      <c r="F16" s="22" t="str">
        <v>220pF / ±5% / 50V / C0G</v>
      </c>
      <c r="G16" s="22" t="str">
        <v>0603 220pF ±5% NPO/COG;50V;100个</v>
      </c>
      <c r="H16" s="21" t="str">
        <f>HYPERLINK("https://item.taobao.com/item.htm?id=1005108810412","打开订单商品")</f>
        <v>打开订单商品</v>
      </c>
      <c r="I16" s="21" t="str">
        <f>HYPERLINK("https://item.szlcsc.com/167743.html","查看工程型号")</f>
        <v>查看工程型号</v>
      </c>
      <c r="J16" s="22" t="str">
        <v>选 220pF、50V、C0G(NPO)、±5%、0603；同页其他容量分别选购。</v>
      </c>
      <c r="K16" s="22" t="str">
        <v>HAT-V5.epro2 / PCB2</v>
      </c>
      <c r="L16"/>
      <c r="M16"/>
    </row>
    <row r="17" ht="64" customHeight="1">
      <c r="A17" s="3" t="str">
        <v>C10</v>
      </c>
      <c r="B17" s="22" t="str">
        <v>1uF / onboard MIC coupling</v>
      </c>
      <c r="C17" s="22" t="str">
        <v>CC0603KRX5R9BB105</v>
      </c>
      <c r="D17" s="3" t="str">
        <v>C128624</v>
      </c>
      <c r="E17" s="22" t="str">
        <v>0603</v>
      </c>
      <c r="F17" s="22" t="str">
        <v>1uF / ±10% / 50V / X5R</v>
      </c>
      <c r="G17" s="22" t="str">
        <v>0603 1uF ±10% X7R;50V</v>
      </c>
      <c r="H17" s="21" t="str">
        <f>HYPERLINK("https://item.taobao.com/item.htm?id=630712731066","打开订单商品")</f>
        <v>打开订单商品</v>
      </c>
      <c r="I17" s="21" t="str">
        <f>HYPERLINK("https://www.lcsc.com/product-detail/C128624.html","查看工程型号")</f>
        <v>查看工程型号</v>
      </c>
      <c r="J17" s="22" t="str">
        <v>实际采购：0603 / 1uF / ±10% / 50V / X7R。</v>
      </c>
      <c r="K17" s="22" t="str">
        <v>HAT-V5.epro2 / PCB2</v>
      </c>
      <c r="L17"/>
      <c r="M17"/>
    </row>
    <row r="18" ht="64" customHeight="1">
      <c r="A18" s="3" t="str">
        <v>C11</v>
      </c>
      <c r="B18" s="22" t="str">
        <v>100nF / onboard MIC</v>
      </c>
      <c r="C18" s="22" t="str">
        <v>CC0603KRX7R9BB104</v>
      </c>
      <c r="D18" s="3" t="str">
        <v>C14663</v>
      </c>
      <c r="E18" s="22" t="str">
        <v>0603</v>
      </c>
      <c r="F18" s="22" t="str">
        <v>100nF / ±10% / 50V / X7R</v>
      </c>
      <c r="G18" s="22" t="str">
        <v>0603 100nF ±10% X7R;50V;100个</v>
      </c>
      <c r="H18" s="21" t="str">
        <f>HYPERLINK("https://item.taobao.com/item.htm?id=731471380840","打开订单商品")</f>
        <v>打开订单商品</v>
      </c>
      <c r="I18" s="21" t="str">
        <f>HYPERLINK("https://item.szlcsc.com/15331.html","查看工程型号")</f>
        <v>查看工程型号</v>
      </c>
      <c r="J18" s="22" t="str">
        <v>实际采购：0603 / 100nF / ±10% / 50V / X7R。</v>
      </c>
      <c r="K18" s="22" t="str">
        <v>HAT-V5.epro2 / PCB2</v>
      </c>
      <c r="L18"/>
      <c r="M18"/>
    </row>
    <row r="19" ht="64" customHeight="1">
      <c r="A19" s="3" t="str">
        <v>C12</v>
      </c>
      <c r="B19" s="22" t="str">
        <v>10uF / 1V8</v>
      </c>
      <c r="C19" s="22" t="str">
        <v>C1608X5R1A106KT000E</v>
      </c>
      <c r="D19" s="3" t="str">
        <v>C76608</v>
      </c>
      <c r="E19" s="22" t="str">
        <v>0603</v>
      </c>
      <c r="F19" s="22" t="str">
        <v>10uF / ±10% / 10V / X5R</v>
      </c>
      <c r="G19" s="22" t="str">
        <v>0603 10uF ±10% X5R;10V</v>
      </c>
      <c r="H19" s="21" t="str">
        <f>HYPERLINK("https://item.taobao.com/item.htm?id=630712731066","打开订单商品")</f>
        <v>打开订单商品</v>
      </c>
      <c r="I19" s="21" t="str">
        <f>HYPERLINK("https://item.szlcsc.com/77735.html","查看工程型号")</f>
        <v>查看工程型号</v>
      </c>
      <c r="J19" s="22" t="str">
        <v>实际采购：0603 / 10uF / ±10% / 10V / X5R。</v>
      </c>
      <c r="K19" s="22" t="str">
        <v>HAT-V5.epro2 / PCB2</v>
      </c>
      <c r="L19"/>
      <c r="M19"/>
    </row>
    <row r="20" ht="64" customHeight="1">
      <c r="A20" s="3" t="str">
        <v>C13</v>
      </c>
      <c r="B20" s="22" t="str">
        <v>10uF / 3V3</v>
      </c>
      <c r="C20" s="22" t="str">
        <v>C1608X5R1A106KT000E</v>
      </c>
      <c r="D20" s="3" t="str">
        <v>C76608</v>
      </c>
      <c r="E20" s="22" t="str">
        <v>0603</v>
      </c>
      <c r="F20" s="22" t="str">
        <v>10uF / ±10% / 10V / X5R</v>
      </c>
      <c r="G20" s="22" t="str">
        <v>0603 10uF ±10% X5R;10V</v>
      </c>
      <c r="H20" s="21" t="str">
        <f>HYPERLINK("https://item.taobao.com/item.htm?id=630712731066","打开订单商品")</f>
        <v>打开订单商品</v>
      </c>
      <c r="I20" s="21" t="str">
        <f>HYPERLINK("https://item.szlcsc.com/77735.html","查看工程型号")</f>
        <v>查看工程型号</v>
      </c>
      <c r="J20" s="22" t="str">
        <v>实际采购：0603 / 10uF / ±10% / 10V / X5R。</v>
      </c>
      <c r="K20" s="22" t="str">
        <v>HAT-V5.epro2 / PCB2</v>
      </c>
      <c r="L20"/>
      <c r="M20"/>
    </row>
    <row r="21" ht="64" customHeight="1">
      <c r="A21" s="3" t="str">
        <v>C14</v>
      </c>
      <c r="B21" s="22" t="str">
        <v>100nF / oscillator</v>
      </c>
      <c r="C21" s="22" t="str">
        <v>CC0603KRX7R9BB104</v>
      </c>
      <c r="D21" s="3" t="str">
        <v>C14663</v>
      </c>
      <c r="E21" s="22" t="str">
        <v>0603</v>
      </c>
      <c r="F21" s="22" t="str">
        <v>100nF / ±10% / 50V / X7R</v>
      </c>
      <c r="G21" s="22" t="str">
        <v>0603 100nF ±10% X7R;50V;100个</v>
      </c>
      <c r="H21" s="21" t="str">
        <f>HYPERLINK("https://item.taobao.com/item.htm?id=731471380840","打开订单商品")</f>
        <v>打开订单商品</v>
      </c>
      <c r="I21" s="21" t="str">
        <f>HYPERLINK("https://item.szlcsc.com/15331.html","查看工程型号")</f>
        <v>查看工程型号</v>
      </c>
      <c r="J21" s="22" t="str">
        <v>实际采购：0603 / 100nF / ±10% / 50V / X7R。</v>
      </c>
      <c r="K21" s="22" t="str">
        <v>HAT-V5.epro2 / PCB2</v>
      </c>
      <c r="L21"/>
      <c r="M21"/>
    </row>
    <row r="22" ht="64" customHeight="1">
      <c r="A22" s="3" t="str">
        <v>C15</v>
      </c>
      <c r="B22" s="22" t="str">
        <v>C3216X7R1V106KT000E</v>
      </c>
      <c r="C22" s="22" t="str">
        <v>C3216X7R1V106KT000E</v>
      </c>
      <c r="D22" s="3" t="str">
        <v>C76666</v>
      </c>
      <c r="E22" s="22" t="str">
        <v>1206</v>
      </c>
      <c r="F22" s="22" t="str">
        <v>10uF / ±10% / 35V / X7R</v>
      </c>
      <c r="G22" s="22" t="str">
        <v>1206 10UF ±10% X7R;35V</v>
      </c>
      <c r="H22" s="21" t="str">
        <f>HYPERLINK("https://item.taobao.com/item.htm?id=730407108775","打开订单商品")</f>
        <v>打开订单商品</v>
      </c>
      <c r="I22" s="21" t="str">
        <f>HYPERLINK("https://item.szlcsc.com/77793.html","查看工程型号")</f>
        <v>查看工程型号</v>
      </c>
      <c r="J22" s="22" t="str">
        <v>C15 使用 1206、10uF、35V、X7R 款式。</v>
      </c>
      <c r="K22" s="22" t="str">
        <v>HAT-V5.epro2 / PCB2</v>
      </c>
      <c r="L22"/>
      <c r="M22"/>
    </row>
    <row r="23" ht="64" customHeight="1">
      <c r="A23" s="3" t="str">
        <v>C16</v>
      </c>
      <c r="B23" s="22" t="str">
        <v>100nF / U5</v>
      </c>
      <c r="C23" s="22" t="str">
        <v>CC0603KRX7R9BB104</v>
      </c>
      <c r="D23" s="3" t="str">
        <v>C14663</v>
      </c>
      <c r="E23" s="22" t="str">
        <v>0603</v>
      </c>
      <c r="F23" s="22" t="str">
        <v>100nF / ±10% / 50V / X7R</v>
      </c>
      <c r="G23" s="22" t="str">
        <v>0603 100nF ±10% X7R;50V;100个</v>
      </c>
      <c r="H23" s="21" t="str">
        <f>HYPERLINK("https://item.taobao.com/item.htm?id=731471380840","打开订单商品")</f>
        <v>打开订单商品</v>
      </c>
      <c r="I23" s="21" t="str">
        <f>HYPERLINK("https://item.szlcsc.com/15331.html","查看工程型号")</f>
        <v>查看工程型号</v>
      </c>
      <c r="J23" s="22" t="str">
        <v>实际采购：0603 / 100nF / ±10% / 50V / X7R。</v>
      </c>
      <c r="K23" s="22" t="str">
        <v>HAT-V5.epro2 / PCB2</v>
      </c>
      <c r="L23"/>
      <c r="M23"/>
    </row>
    <row r="24" ht="64" customHeight="1">
      <c r="A24" s="3" t="str">
        <v>C17</v>
      </c>
      <c r="B24" s="22" t="str">
        <v>100nF / U6</v>
      </c>
      <c r="C24" s="22" t="str">
        <v>CC0603KRX7R9BB104</v>
      </c>
      <c r="D24" s="3" t="str">
        <v>C14663</v>
      </c>
      <c r="E24" s="22" t="str">
        <v>0603</v>
      </c>
      <c r="F24" s="22" t="str">
        <v>100nF / ±10% / 50V / X7R</v>
      </c>
      <c r="G24" s="22" t="str">
        <v>0603 100nF ±10% X7R;50V;100个</v>
      </c>
      <c r="H24" s="21" t="str">
        <f>HYPERLINK("https://item.taobao.com/item.htm?id=731471380840","打开订单商品")</f>
        <v>打开订单商品</v>
      </c>
      <c r="I24" s="21" t="str">
        <f>HYPERLINK("https://item.szlcsc.com/15331.html","查看工程型号")</f>
        <v>查看工程型号</v>
      </c>
      <c r="J24" s="22" t="str">
        <v>实际采购：0603 / 100nF / ±10% / 50V / X7R。</v>
      </c>
      <c r="K24" s="22" t="str">
        <v>HAT-V5.epro2 / PCB2</v>
      </c>
      <c r="L24"/>
      <c r="M24"/>
    </row>
    <row r="25" ht="64" customHeight="1">
      <c r="A25" s="3" t="str">
        <v>C18</v>
      </c>
      <c r="B25" s="22" t="str">
        <v>100nF / U7</v>
      </c>
      <c r="C25" s="22" t="str">
        <v>CC0603KRX7R9BB104</v>
      </c>
      <c r="D25" s="3" t="str">
        <v>C14663</v>
      </c>
      <c r="E25" s="22" t="str">
        <v>0603</v>
      </c>
      <c r="F25" s="22" t="str">
        <v>100nF / ±10% / 50V / X7R</v>
      </c>
      <c r="G25" s="22" t="str">
        <v>0603 100nF ±10% X7R;50V;100个</v>
      </c>
      <c r="H25" s="21" t="str">
        <f>HYPERLINK("https://item.taobao.com/item.htm?id=731471380840","打开订单商品")</f>
        <v>打开订单商品</v>
      </c>
      <c r="I25" s="21" t="str">
        <f>HYPERLINK("https://item.szlcsc.com/15331.html","查看工程型号")</f>
        <v>查看工程型号</v>
      </c>
      <c r="J25" s="22" t="str">
        <v>实际采购：0603 / 100nF / ±10% / 50V / X7R。</v>
      </c>
      <c r="K25" s="22" t="str">
        <v>HAT-V5.epro2 / PCB2</v>
      </c>
      <c r="L25"/>
      <c r="M25"/>
    </row>
    <row r="26" ht="64" customHeight="1">
      <c r="A26" s="3" t="str">
        <v>C20</v>
      </c>
      <c r="B26" s="22" t="str">
        <v>100nF 50V / bootstrap</v>
      </c>
      <c r="C26" s="22" t="str">
        <v>CC0603KRX7R9BB104</v>
      </c>
      <c r="D26" s="3" t="str">
        <v>C14663</v>
      </c>
      <c r="E26" s="22" t="str">
        <v>0603</v>
      </c>
      <c r="F26" s="22" t="str">
        <v>100nF / ±10% / 50V / X7R</v>
      </c>
      <c r="G26" s="22" t="str">
        <v>0603 100nF ±10% X7R;50V;100个</v>
      </c>
      <c r="H26" s="21" t="str">
        <f>HYPERLINK("https://item.taobao.com/item.htm?id=731471380840","打开订单商品")</f>
        <v>打开订单商品</v>
      </c>
      <c r="I26" s="21" t="str">
        <f>HYPERLINK("https://item.szlcsc.com/15331.html","查看工程型号")</f>
        <v>查看工程型号</v>
      </c>
      <c r="J26" s="22" t="str">
        <v>实际采购：0603 / 100nF / ±10% / 50V / X7R。</v>
      </c>
      <c r="K26" s="22" t="str">
        <v>HAT-V5.epro2 / PCB2</v>
      </c>
      <c r="L26"/>
      <c r="M26"/>
    </row>
    <row r="27" ht="64" customHeight="1">
      <c r="A27" s="3" t="str">
        <v>C21</v>
      </c>
      <c r="B27" s="22" t="str">
        <v>22uF 10V X5R</v>
      </c>
      <c r="C27" s="22" t="str">
        <v>GRM188R61A226ME15D</v>
      </c>
      <c r="D27" s="3" t="str">
        <v>C84419</v>
      </c>
      <c r="E27" s="22" t="str">
        <v>0603</v>
      </c>
      <c r="F27" s="22" t="str">
        <v>22uF / ±20% / 10V / X5R</v>
      </c>
      <c r="G27" s="22" t="str">
        <v>22UF 226K 10% X5R;10V;0603=100个</v>
      </c>
      <c r="H27" s="21" t="str">
        <f>HYPERLINK("https://item.taobao.com/item.htm?id=993202872551","打开订单商品")</f>
        <v>打开订单商品</v>
      </c>
      <c r="I27" s="21" t="str">
        <f>HYPERLINK("https://item.szlcsc.com/85589.html","查看工程型号")</f>
        <v>查看工程型号</v>
      </c>
      <c r="J27" s="22" t="str">
        <v>实际采购：0603 / 22uF / ±10% / 10V / X5R。</v>
      </c>
      <c r="K27" s="22" t="str">
        <v>HAT-V5.epro2 / PCB2</v>
      </c>
      <c r="L27"/>
      <c r="M27"/>
    </row>
    <row r="28" ht="64" customHeight="1">
      <c r="A28" s="3" t="str">
        <v>C22</v>
      </c>
      <c r="B28" s="22" t="str">
        <v>22uF 10V X5R</v>
      </c>
      <c r="C28" s="22" t="str">
        <v>GRM188R61A226ME15D</v>
      </c>
      <c r="D28" s="3" t="str">
        <v>C84419</v>
      </c>
      <c r="E28" s="22" t="str">
        <v>0603</v>
      </c>
      <c r="F28" s="22" t="str">
        <v>22uF / ±20% / 10V / X5R</v>
      </c>
      <c r="G28" s="22" t="str">
        <v>22UF 226K 10% X5R;10V;0603=100个</v>
      </c>
      <c r="H28" s="21" t="str">
        <f>HYPERLINK("https://item.taobao.com/item.htm?id=993202872551","打开订单商品")</f>
        <v>打开订单商品</v>
      </c>
      <c r="I28" s="21" t="str">
        <f>HYPERLINK("https://item.szlcsc.com/85589.html","查看工程型号")</f>
        <v>查看工程型号</v>
      </c>
      <c r="J28" s="22" t="str">
        <v>实际采购：0603 / 22uF / ±10% / 10V / X5R。</v>
      </c>
      <c r="K28" s="22" t="str">
        <v>HAT-V5.epro2 / PCB2</v>
      </c>
      <c r="L28"/>
      <c r="M28"/>
    </row>
    <row r="29" ht="64" customHeight="1">
      <c r="A29" s="3" t="str">
        <v>C26</v>
      </c>
      <c r="B29" s="22" t="str">
        <v>100nF / 1V8</v>
      </c>
      <c r="C29" s="22" t="str">
        <v>CC0603KRX7R9BB104</v>
      </c>
      <c r="D29" s="3" t="str">
        <v>C14663</v>
      </c>
      <c r="E29" s="22" t="str">
        <v>0603</v>
      </c>
      <c r="F29" s="22" t="str">
        <v>100nF / ±10% / 50V / X7R</v>
      </c>
      <c r="G29" s="22" t="str">
        <v>0603 100nF ±10% X7R;50V;100个</v>
      </c>
      <c r="H29" s="21" t="str">
        <f>HYPERLINK("https://item.taobao.com/item.htm?id=731471380840","打开订单商品")</f>
        <v>打开订单商品</v>
      </c>
      <c r="I29" s="21" t="str">
        <f>HYPERLINK("https://item.szlcsc.com/15331.html","查看工程型号")</f>
        <v>查看工程型号</v>
      </c>
      <c r="J29" s="22" t="str">
        <v>实际采购：0603 / 100nF / ±10% / 50V / X7R。</v>
      </c>
      <c r="K29" s="22" t="str">
        <v>HAT-V5.epro2 / PCB2</v>
      </c>
      <c r="L29"/>
      <c r="M29"/>
    </row>
    <row r="30" ht="64" customHeight="1">
      <c r="A30" s="3" t="str">
        <v>C27</v>
      </c>
      <c r="B30" s="22" t="str">
        <v>1uF</v>
      </c>
      <c r="C30" s="22" t="str">
        <v>CC0603KRX5R9BB105</v>
      </c>
      <c r="D30" s="3" t="str">
        <v>C128624</v>
      </c>
      <c r="E30" s="22" t="str">
        <v>0603</v>
      </c>
      <c r="F30" s="22" t="str">
        <v>1uF / ±10% / 50V / X5R</v>
      </c>
      <c r="G30" s="22" t="str">
        <v>0603 1uF ±10% X7R;50V</v>
      </c>
      <c r="H30" s="21" t="str">
        <f>HYPERLINK("https://item.taobao.com/item.htm?id=630712731066","打开订单商品")</f>
        <v>打开订单商品</v>
      </c>
      <c r="I30" s="21" t="str">
        <f>HYPERLINK("https://www.lcsc.com/product-detail/C128624.html","查看工程型号")</f>
        <v>查看工程型号</v>
      </c>
      <c r="J30" s="22" t="str">
        <v>实际采购：0603 / 1uF / ±10% / 50V / X7R。</v>
      </c>
      <c r="K30" s="22" t="str">
        <v>HAT-V5.epro2 / PCB2</v>
      </c>
      <c r="L30"/>
      <c r="M30"/>
    </row>
    <row r="31" ht="64" customHeight="1">
      <c r="A31" s="3" t="str">
        <v>C28</v>
      </c>
      <c r="B31" s="22" t="str">
        <v>100nF</v>
      </c>
      <c r="C31" s="22" t="str">
        <v>CC0603KRX7R9BB104</v>
      </c>
      <c r="D31" s="3" t="str">
        <v>C14663</v>
      </c>
      <c r="E31" s="22" t="str">
        <v>0603</v>
      </c>
      <c r="F31" s="22" t="str">
        <v>100nF / ±10% / 50V / X7R</v>
      </c>
      <c r="G31" s="22" t="str">
        <v>0603 100nF ±10% X7R;50V;100个</v>
      </c>
      <c r="H31" s="21" t="str">
        <f>HYPERLINK("https://item.taobao.com/item.htm?id=731471380840","打开订单商品")</f>
        <v>打开订单商品</v>
      </c>
      <c r="I31" s="21" t="str">
        <f>HYPERLINK("https://item.szlcsc.com/15331.html","查看工程型号")</f>
        <v>查看工程型号</v>
      </c>
      <c r="J31" s="22" t="str">
        <v>实际采购：0603 / 100nF / ±10% / 50V / X7R。</v>
      </c>
      <c r="K31" s="22" t="str">
        <v>HAT-V5.epro2 / PCB2</v>
      </c>
      <c r="L31"/>
      <c r="M31"/>
    </row>
    <row r="32" ht="64" customHeight="1">
      <c r="A32" s="3" t="str">
        <v>C29</v>
      </c>
      <c r="B32" s="22" t="str">
        <v>1uF</v>
      </c>
      <c r="C32" s="22" t="str">
        <v>CC0603KRX5R9BB105</v>
      </c>
      <c r="D32" s="3" t="str">
        <v>C128624</v>
      </c>
      <c r="E32" s="22" t="str">
        <v>0603</v>
      </c>
      <c r="F32" s="22" t="str">
        <v>1uF / ±10% / 50V / X5R</v>
      </c>
      <c r="G32" s="22" t="str">
        <v>0603 1uF ±10% X7R;50V</v>
      </c>
      <c r="H32" s="21" t="str">
        <f>HYPERLINK("https://item.taobao.com/item.htm?id=630712731066","打开订单商品")</f>
        <v>打开订单商品</v>
      </c>
      <c r="I32" s="21" t="str">
        <f>HYPERLINK("https://www.lcsc.com/product-detail/C128624.html","查看工程型号")</f>
        <v>查看工程型号</v>
      </c>
      <c r="J32" s="22" t="str">
        <v>实际采购：0603 / 1uF / ±10% / 50V / X7R。</v>
      </c>
      <c r="K32" s="22" t="str">
        <v>HAT-V5.epro2 / PCB2</v>
      </c>
      <c r="L32"/>
      <c r="M32"/>
    </row>
    <row r="33" ht="64" customHeight="1">
      <c r="A33" s="3" t="str">
        <v>C30</v>
      </c>
      <c r="B33" s="22" t="str">
        <v>100nF</v>
      </c>
      <c r="C33" s="22" t="str">
        <v>CC0603KRX7R9BB104</v>
      </c>
      <c r="D33" s="3" t="str">
        <v>C14663</v>
      </c>
      <c r="E33" s="22" t="str">
        <v>0603</v>
      </c>
      <c r="F33" s="22" t="str">
        <v>100nF / ±10% / 50V / X7R</v>
      </c>
      <c r="G33" s="22" t="str">
        <v>0603 100nF ±10% X7R;50V;100个</v>
      </c>
      <c r="H33" s="21" t="str">
        <f>HYPERLINK("https://item.taobao.com/item.htm?id=731471380840","打开订单商品")</f>
        <v>打开订单商品</v>
      </c>
      <c r="I33" s="21" t="str">
        <f>HYPERLINK("https://item.szlcsc.com/15331.html","查看工程型号")</f>
        <v>查看工程型号</v>
      </c>
      <c r="J33" s="22" t="str">
        <v>实际采购：0603 / 100nF / ±10% / 50V / X7R。</v>
      </c>
      <c r="K33" s="22" t="str">
        <v>HAT-V5.epro2 / PCB2</v>
      </c>
      <c r="L33"/>
      <c r="M33"/>
    </row>
    <row r="34" ht="64" customHeight="1">
      <c r="A34" s="3" t="str">
        <v>C31</v>
      </c>
      <c r="B34" s="22" t="str">
        <v>1uF</v>
      </c>
      <c r="C34" s="22" t="str">
        <v>CC0603KRX5R9BB105</v>
      </c>
      <c r="D34" s="3" t="str">
        <v>C128624</v>
      </c>
      <c r="E34" s="22" t="str">
        <v>0603</v>
      </c>
      <c r="F34" s="22" t="str">
        <v>1uF / ±10% / 50V / X5R</v>
      </c>
      <c r="G34" s="22" t="str">
        <v>0603 1uF ±10% X7R;50V</v>
      </c>
      <c r="H34" s="21" t="str">
        <f>HYPERLINK("https://item.taobao.com/item.htm?id=630712731066","打开订单商品")</f>
        <v>打开订单商品</v>
      </c>
      <c r="I34" s="21" t="str">
        <f>HYPERLINK("https://www.lcsc.com/product-detail/C128624.html","查看工程型号")</f>
        <v>查看工程型号</v>
      </c>
      <c r="J34" s="22" t="str">
        <v>实际采购：0603 / 1uF / ±10% / 50V / X7R。</v>
      </c>
      <c r="K34" s="22" t="str">
        <v>HAT-V5.epro2 / PCB2</v>
      </c>
      <c r="L34"/>
      <c r="M34"/>
    </row>
    <row r="35" ht="64" customHeight="1">
      <c r="A35" s="3" t="str">
        <v>C32</v>
      </c>
      <c r="B35" s="22" t="str">
        <v>100nF</v>
      </c>
      <c r="C35" s="22" t="str">
        <v>CC0603KRX7R9BB104</v>
      </c>
      <c r="D35" s="3" t="str">
        <v>C14663</v>
      </c>
      <c r="E35" s="22" t="str">
        <v>0603</v>
      </c>
      <c r="F35" s="22" t="str">
        <v>100nF / ±10% / 50V / X7R</v>
      </c>
      <c r="G35" s="22" t="str">
        <v>0603 100nF ±10% X7R;50V;100个</v>
      </c>
      <c r="H35" s="21" t="str">
        <f>HYPERLINK("https://item.taobao.com/item.htm?id=731471380840","打开订单商品")</f>
        <v>打开订单商品</v>
      </c>
      <c r="I35" s="21" t="str">
        <f>HYPERLINK("https://item.szlcsc.com/15331.html","查看工程型号")</f>
        <v>查看工程型号</v>
      </c>
      <c r="J35" s="22" t="str">
        <v>实际采购：0603 / 100nF / ±10% / 50V / X7R。</v>
      </c>
      <c r="K35" s="22" t="str">
        <v>HAT-V5.epro2 / PCB2</v>
      </c>
      <c r="L35"/>
      <c r="M35"/>
    </row>
    <row r="36" ht="64" customHeight="1">
      <c r="A36" s="3" t="str">
        <v>C33</v>
      </c>
      <c r="B36" s="22" t="str">
        <v>1uF</v>
      </c>
      <c r="C36" s="22" t="str">
        <v>CC0603KRX5R9BB105</v>
      </c>
      <c r="D36" s="3" t="str">
        <v>C128624</v>
      </c>
      <c r="E36" s="22" t="str">
        <v>0603</v>
      </c>
      <c r="F36" s="22" t="str">
        <v>1uF / ±10% / 50V / X5R</v>
      </c>
      <c r="G36" s="22" t="str">
        <v>0603 1uF ±10% X7R;50V</v>
      </c>
      <c r="H36" s="21" t="str">
        <f>HYPERLINK("https://item.taobao.com/item.htm?id=630712731066","打开订单商品")</f>
        <v>打开订单商品</v>
      </c>
      <c r="I36" s="21" t="str">
        <f>HYPERLINK("https://www.lcsc.com/product-detail/C128624.html","查看工程型号")</f>
        <v>查看工程型号</v>
      </c>
      <c r="J36" s="22" t="str">
        <v>实际采购：0603 / 1uF / ±10% / 50V / X7R。</v>
      </c>
      <c r="K36" s="22" t="str">
        <v>HAT-V5.epro2 / PCB2</v>
      </c>
      <c r="L36"/>
      <c r="M36"/>
    </row>
    <row r="37" ht="64" customHeight="1">
      <c r="A37" s="3" t="str">
        <v>C34</v>
      </c>
      <c r="B37" s="22" t="str">
        <v>10nF</v>
      </c>
      <c r="C37" s="22" t="str">
        <v>CC0603KRX7R9BB103</v>
      </c>
      <c r="D37" s="3" t="str">
        <v>C100042</v>
      </c>
      <c r="E37" s="22" t="str">
        <v>0603</v>
      </c>
      <c r="F37" s="22" t="str">
        <v>10nF / ±10% / 50V / X7R</v>
      </c>
      <c r="G37" s="22" t="str">
        <v>0603 10NF 50V 10% 100个</v>
      </c>
      <c r="H37" s="21" t="str">
        <f>HYPERLINK("https://item.taobao.com/item.htm?id=610558214623","打开订单商品")</f>
        <v>打开订单商品</v>
      </c>
      <c r="I37" s="21" t="str">
        <f>HYPERLINK("https://item.szlcsc.com/101256.html","查看工程型号")</f>
        <v>查看工程型号</v>
      </c>
      <c r="J37" s="22" t="str">
        <v>实际采购：0603 / 10nF / ±10% / 50V / X7R。</v>
      </c>
      <c r="K37" s="22" t="str">
        <v>HAT-V5.epro2 / PCB2</v>
      </c>
      <c r="L37"/>
      <c r="M37"/>
    </row>
    <row r="38" ht="64" customHeight="1">
      <c r="A38" s="3" t="str">
        <v>C35</v>
      </c>
      <c r="B38" s="22" t="str">
        <v>1uF</v>
      </c>
      <c r="C38" s="22" t="str">
        <v>CC0603KRX5R9BB105</v>
      </c>
      <c r="D38" s="3" t="str">
        <v>C128624</v>
      </c>
      <c r="E38" s="22" t="str">
        <v>0603</v>
      </c>
      <c r="F38" s="22" t="str">
        <v>1uF / ±10% / 50V / X5R</v>
      </c>
      <c r="G38" s="22" t="str">
        <v>0603 1uF ±10% X7R;50V</v>
      </c>
      <c r="H38" s="21" t="str">
        <f>HYPERLINK("https://item.taobao.com/item.htm?id=630712731066","打开订单商品")</f>
        <v>打开订单商品</v>
      </c>
      <c r="I38" s="21" t="str">
        <f>HYPERLINK("https://www.lcsc.com/product-detail/C128624.html","查看工程型号")</f>
        <v>查看工程型号</v>
      </c>
      <c r="J38" s="22" t="str">
        <v>实际采购：0603 / 1uF / ±10% / 50V / X7R。</v>
      </c>
      <c r="K38" s="22" t="str">
        <v>HAT-V5.epro2 / PCB2</v>
      </c>
      <c r="L38"/>
      <c r="M38"/>
    </row>
    <row r="39" ht="64" customHeight="1">
      <c r="A39" s="3" t="str">
        <v>C36</v>
      </c>
      <c r="B39" s="22" t="str">
        <v>100nF</v>
      </c>
      <c r="C39" s="22" t="str">
        <v>CC0603KRX7R9BB104</v>
      </c>
      <c r="D39" s="3" t="str">
        <v>C14663</v>
      </c>
      <c r="E39" s="22" t="str">
        <v>0603</v>
      </c>
      <c r="F39" s="22" t="str">
        <v>100nF / ±10% / 50V / X7R</v>
      </c>
      <c r="G39" s="22" t="str">
        <v>0603 100nF ±10% X7R;50V;100个</v>
      </c>
      <c r="H39" s="21" t="str">
        <f>HYPERLINK("https://item.taobao.com/item.htm?id=731471380840","打开订单商品")</f>
        <v>打开订单商品</v>
      </c>
      <c r="I39" s="21" t="str">
        <f>HYPERLINK("https://item.szlcsc.com/15331.html","查看工程型号")</f>
        <v>查看工程型号</v>
      </c>
      <c r="J39" s="22" t="str">
        <v>实际采购：0603 / 100nF / ±10% / 50V / X7R。</v>
      </c>
      <c r="K39" s="22" t="str">
        <v>HAT-V5.epro2 / PCB2</v>
      </c>
      <c r="L39"/>
      <c r="M39"/>
    </row>
    <row r="40" ht="64" customHeight="1">
      <c r="A40" s="3" t="str">
        <v>C37</v>
      </c>
      <c r="B40" s="22" t="str">
        <v>10uF / 3V3</v>
      </c>
      <c r="C40" s="22" t="str">
        <v>C1608X5R1A106KT000E</v>
      </c>
      <c r="D40" s="3" t="str">
        <v>C76608</v>
      </c>
      <c r="E40" s="22" t="str">
        <v>0603</v>
      </c>
      <c r="F40" s="22" t="str">
        <v>10uF / ±10% / 10V / X5R</v>
      </c>
      <c r="G40" s="22" t="str">
        <v>0603 10uF ±10% X5R;10V</v>
      </c>
      <c r="H40" s="21" t="str">
        <f>HYPERLINK("https://item.taobao.com/item.htm?id=630712731066","打开订单商品")</f>
        <v>打开订单商品</v>
      </c>
      <c r="I40" s="21" t="str">
        <f>HYPERLINK("https://item.szlcsc.com/77735.html","查看工程型号")</f>
        <v>查看工程型号</v>
      </c>
      <c r="J40" s="22" t="str">
        <v>实际采购：0603 / 10uF / ±10% / 10V / X5R。</v>
      </c>
      <c r="K40" s="22" t="str">
        <v>HAT-V5.epro2 / PCB2</v>
      </c>
      <c r="L40"/>
      <c r="M40"/>
    </row>
    <row r="41" ht="64" customHeight="1">
      <c r="A41" s="3" t="str">
        <v>C38</v>
      </c>
      <c r="B41" s="22" t="str">
        <v>100nF / codec reset</v>
      </c>
      <c r="C41" s="22" t="str">
        <v>CC0603KRX7R9BB104</v>
      </c>
      <c r="D41" s="3" t="str">
        <v>C14663</v>
      </c>
      <c r="E41" s="22" t="str">
        <v>0603</v>
      </c>
      <c r="F41" s="22" t="str">
        <v>100nF / ±10% / 50V / X7R</v>
      </c>
      <c r="G41" s="22" t="str">
        <v>0603 100nF ±10% X7R;50V;100个</v>
      </c>
      <c r="H41" s="21" t="str">
        <f>HYPERLINK("https://item.taobao.com/item.htm?id=731471380840","打开订单商品")</f>
        <v>打开订单商品</v>
      </c>
      <c r="I41" s="21" t="str">
        <f>HYPERLINK("https://item.szlcsc.com/15331.html","查看工程型号")</f>
        <v>查看工程型号</v>
      </c>
      <c r="J41" s="22" t="str">
        <v>实际采购：0603 / 100nF / ±10% / 50V / X7R。</v>
      </c>
      <c r="K41" s="22" t="str">
        <v>HAT-V5.epro2 / PCB2</v>
      </c>
      <c r="L41"/>
      <c r="M41"/>
    </row>
    <row r="42" ht="64" customHeight="1">
      <c r="A42" s="3" t="str">
        <v>C39</v>
      </c>
      <c r="B42" s="22" t="str">
        <v>100nF 50V</v>
      </c>
      <c r="C42" s="22" t="str">
        <v>CC0603KRX7R9BB104</v>
      </c>
      <c r="D42" s="3" t="str">
        <v>C14663</v>
      </c>
      <c r="E42" s="22" t="str">
        <v>0603</v>
      </c>
      <c r="F42" s="22" t="str">
        <v>100nF / ±10% / 50V / X7R</v>
      </c>
      <c r="G42" s="22" t="str">
        <v>0603 100nF ±10% X7R;50V;100个</v>
      </c>
      <c r="H42" s="21" t="str">
        <f>HYPERLINK("https://item.taobao.com/item.htm?id=731471380840","打开订单商品")</f>
        <v>打开订单商品</v>
      </c>
      <c r="I42" s="21" t="str">
        <f>HYPERLINK("https://item.szlcsc.com/15331.html","查看工程型号")</f>
        <v>查看工程型号</v>
      </c>
      <c r="J42" s="22" t="str">
        <v>实际采购：0603 / 100nF / ±10% / 50V / X7R。</v>
      </c>
      <c r="K42" s="22" t="str">
        <v>HAT-V5.epro2 / PCB2</v>
      </c>
      <c r="L42"/>
      <c r="M42"/>
    </row>
    <row r="43" ht="64" customHeight="1">
      <c r="A43" s="3" t="str">
        <v>C40</v>
      </c>
      <c r="B43" s="22" t="str">
        <v>1uF / MIC R coupling</v>
      </c>
      <c r="C43" s="22" t="str">
        <v>CC0603KRX5R9BB105</v>
      </c>
      <c r="D43" s="3" t="str">
        <v>C128624</v>
      </c>
      <c r="E43" s="22" t="str">
        <v>0603</v>
      </c>
      <c r="F43" s="22" t="str">
        <v>1uF / ±10% / 50V / X5R</v>
      </c>
      <c r="G43" s="22" t="str">
        <v>0603 1uF ±10% X7R;50V</v>
      </c>
      <c r="H43" s="21" t="str">
        <f>HYPERLINK("https://item.taobao.com/item.htm?id=630712731066","打开订单商品")</f>
        <v>打开订单商品</v>
      </c>
      <c r="I43" s="21" t="str">
        <f>HYPERLINK("https://www.lcsc.com/product-detail/C128624.html","查看工程型号")</f>
        <v>查看工程型号</v>
      </c>
      <c r="J43" s="22" t="str">
        <v>实际采购：0603 / 1uF / ±10% / 50V / X7R。</v>
      </c>
      <c r="K43" s="22" t="str">
        <v>HAT-V5.epro2 / PCB2</v>
      </c>
      <c r="L43"/>
      <c r="M43"/>
    </row>
    <row r="44" ht="64" customHeight="1">
      <c r="A44" s="3" t="str">
        <v>C41</v>
      </c>
      <c r="B44" s="22" t="str">
        <v>1uF / MIC L coupling</v>
      </c>
      <c r="C44" s="22" t="str">
        <v>CC0603KRX5R9BB105</v>
      </c>
      <c r="D44" s="3" t="str">
        <v>C128624</v>
      </c>
      <c r="E44" s="22" t="str">
        <v>0603</v>
      </c>
      <c r="F44" s="22" t="str">
        <v>1uF / ±10% / 50V / X5R</v>
      </c>
      <c r="G44" s="22" t="str">
        <v>0603 1uF ±10% X7R;50V</v>
      </c>
      <c r="H44" s="21" t="str">
        <f>HYPERLINK("https://item.taobao.com/item.htm?id=630712731066","打开订单商品")</f>
        <v>打开订单商品</v>
      </c>
      <c r="I44" s="21" t="str">
        <f>HYPERLINK("https://www.lcsc.com/product-detail/C128624.html","查看工程型号")</f>
        <v>查看工程型号</v>
      </c>
      <c r="J44" s="22" t="str">
        <v>实际采购：0603 / 1uF / ±10% / 50V / X7R。</v>
      </c>
      <c r="K44" s="22" t="str">
        <v>HAT-V5.epro2 / PCB2</v>
      </c>
      <c r="L44"/>
      <c r="M44"/>
    </row>
    <row r="45" ht="64" customHeight="1">
      <c r="A45" s="3" t="str">
        <v>C42</v>
      </c>
      <c r="B45" s="22" t="str">
        <v>1uF / MIC supply</v>
      </c>
      <c r="C45" s="22" t="str">
        <v>CC0603KRX5R9BB105</v>
      </c>
      <c r="D45" s="3" t="str">
        <v>C128624</v>
      </c>
      <c r="E45" s="22" t="str">
        <v>0603</v>
      </c>
      <c r="F45" s="22" t="str">
        <v>1uF / ±10% / 50V / X5R</v>
      </c>
      <c r="G45" s="22" t="str">
        <v>0603 1uF ±10% X7R;50V</v>
      </c>
      <c r="H45" s="21" t="str">
        <f>HYPERLINK("https://item.taobao.com/item.htm?id=630712731066","打开订单商品")</f>
        <v>打开订单商品</v>
      </c>
      <c r="I45" s="21" t="str">
        <f>HYPERLINK("https://www.lcsc.com/product-detail/C128624.html","查看工程型号")</f>
        <v>查看工程型号</v>
      </c>
      <c r="J45" s="22" t="str">
        <v>实际采购：0603 / 1uF / ±10% / 50V / X7R。</v>
      </c>
      <c r="K45" s="22" t="str">
        <v>HAT-V5.epro2 / PCB2</v>
      </c>
      <c r="L45"/>
      <c r="M45"/>
    </row>
    <row r="46" ht="64" customHeight="1">
      <c r="A46" s="3" t="str">
        <v>C43</v>
      </c>
      <c r="B46" s="22" t="str">
        <v>1uF / MIC supply</v>
      </c>
      <c r="C46" s="22" t="str">
        <v>CC0603KRX5R9BB105</v>
      </c>
      <c r="D46" s="3" t="str">
        <v>C128624</v>
      </c>
      <c r="E46" s="22" t="str">
        <v>0603</v>
      </c>
      <c r="F46" s="22" t="str">
        <v>1uF / ±10% / 50V / X5R</v>
      </c>
      <c r="G46" s="22" t="str">
        <v>0603 1uF ±10% X7R;50V</v>
      </c>
      <c r="H46" s="21" t="str">
        <f>HYPERLINK("https://item.taobao.com/item.htm?id=630712731066","打开订单商品")</f>
        <v>打开订单商品</v>
      </c>
      <c r="I46" s="21" t="str">
        <f>HYPERLINK("https://www.lcsc.com/product-detail/C128624.html","查看工程型号")</f>
        <v>查看工程型号</v>
      </c>
      <c r="J46" s="22" t="str">
        <v>实际采购：0603 / 1uF / ±10% / 50V / X7R。</v>
      </c>
      <c r="K46" s="22" t="str">
        <v>HAT-V5.epro2 / PCB2</v>
      </c>
      <c r="L46"/>
      <c r="M46"/>
    </row>
    <row r="47" ht="64" customHeight="1">
      <c r="A47" s="3" t="str">
        <v>D1</v>
      </c>
      <c r="B47" s="22" t="str">
        <v>BAT54SW / diode 1 used</v>
      </c>
      <c r="C47" s="22" t="str">
        <v>BAT54SW,115</v>
      </c>
      <c r="D47" s="3" t="str">
        <v>C78606</v>
      </c>
      <c r="E47" s="22" t="str">
        <v>SOT-323</v>
      </c>
      <c r="F47" s="22" t="str">
        <v>二极管配置:1对串联式；正向压降(Vf):800mV@100mA；直流反向耐压(Vr):30V；整流电流:200mA</v>
      </c>
      <c r="G47" s="22" t="str">
        <v>BAT54SW 印字44t（20只）</v>
      </c>
      <c r="H47" s="21" t="str">
        <f>HYPERLINK("https://item.taobao.com/item.htm?id=793455311175","打开订单商品")</f>
        <v>打开订单商品</v>
      </c>
      <c r="I47" s="21" t="str">
        <f>HYPERLINK("https://item.szlcsc.com/79742.html","查看工程型号")</f>
        <v>查看工程型号</v>
      </c>
      <c r="J47" s="22" t="str">
        <v>选择 BAT54SW / SOT-323 款式。</v>
      </c>
      <c r="K47" s="22" t="str">
        <v>HAT-V5.epro2 / PCB2</v>
      </c>
      <c r="L47"/>
      <c r="M47"/>
    </row>
    <row r="48" ht="64" customHeight="1">
      <c r="A48" s="3" t="str">
        <v>D4</v>
      </c>
      <c r="B48" s="22" t="str">
        <v>5V1 / bus clamp</v>
      </c>
      <c r="C48" s="22" t="str">
        <v>BZT52C5V1S-7-F</v>
      </c>
      <c r="D48" s="3" t="str">
        <v>C151348</v>
      </c>
      <c r="E48" s="22" t="str">
        <v>SOD-323</v>
      </c>
      <c r="F48" s="22" t="str">
        <v>二极管配置:1个独立式；稳压值(标称值):5.1V；稳压值(范围值):4.8V~5.4V；耗散功率(Pd):200mW</v>
      </c>
      <c r="G48" s="22" t="str">
        <v>BZT52C5V1S W8 SOD-323 (50个)</v>
      </c>
      <c r="H48" s="21" t="str">
        <f>HYPERLINK("https://item.taobao.com/item.htm?id=943185002457","打开订单商品")</f>
        <v>打开订单商品</v>
      </c>
      <c r="I48" s="21" t="str">
        <f>HYPERLINK("https://item.szlcsc.com/162688.html","查看工程型号")</f>
        <v>查看工程型号</v>
      </c>
      <c r="J48" s="22" t="str">
        <v>选择 BZT52C5V1S / 5.1V / SOD-323 款式。</v>
      </c>
      <c r="K48" s="22" t="str">
        <v>HAT-V5.epro2 / PCB2</v>
      </c>
      <c r="L48"/>
      <c r="M48"/>
    </row>
    <row r="49" ht="64" customHeight="1">
      <c r="A49" s="3" t="str">
        <v>FB1</v>
      </c>
      <c r="B49" s="22" t="str">
        <v>600R@100MHz 1.3A</v>
      </c>
      <c r="C49" s="22" t="str">
        <v>BLM18KG601SN1D</v>
      </c>
      <c r="D49" s="3" t="str">
        <v>C85833</v>
      </c>
      <c r="E49" s="22" t="str">
        <v>0603</v>
      </c>
      <c r="F49" s="22" t="str">
        <v>±25% / 600Ω@100MHz / 1.3A</v>
      </c>
      <c r="G49" s="22" t="str">
        <v>0603_600R_1.3A_±25%【100只】</v>
      </c>
      <c r="H49" s="21" t="str">
        <f>HYPERLINK("https://item.taobao.com/item.htm?id=931081429973","打开订单商品")</f>
        <v>打开订单商品</v>
      </c>
      <c r="I49" s="21" t="str">
        <f>HYPERLINK("https://item.szlcsc.com/87009.html","查看工程型号")</f>
        <v>查看工程型号</v>
      </c>
      <c r="J49" s="22" t="str">
        <v>实际采购：0603 / 600Ω@100MHz / 1.3A / ±25%。</v>
      </c>
      <c r="K49" s="22" t="str">
        <v>HAT-V5.epro2 / PCB2</v>
      </c>
      <c r="L49"/>
      <c r="M49"/>
    </row>
    <row r="50" ht="64" customHeight="1">
      <c r="A50" s="3" t="str">
        <v>FB2</v>
      </c>
      <c r="B50" s="22" t="str">
        <v>120R@100MHz 2A</v>
      </c>
      <c r="C50" s="22" t="str">
        <v>PE-0603PFB121ST</v>
      </c>
      <c r="D50" s="3" t="str">
        <v>C2661472</v>
      </c>
      <c r="E50" s="22" t="str">
        <v>0603</v>
      </c>
      <c r="F50" s="22" t="str">
        <v>±25% / 120Ω@100MHz / 2A</v>
      </c>
      <c r="G50" s="22" t="str">
        <v>0603_120R_2A_±25%【100只】</v>
      </c>
      <c r="H50" s="21" t="str">
        <f>HYPERLINK("https://item.taobao.com/item.htm?id=931081429973","打开订单商品")</f>
        <v>打开订单商品</v>
      </c>
      <c r="I50" s="21" t="str">
        <f>HYPERLINK("https://item.szlcsc.com/2753383.html","查看工程型号")</f>
        <v>查看工程型号</v>
      </c>
      <c r="J50" s="22" t="str">
        <v>实际采购：0603 / 120Ω@100MHz / 2A / ±25%。</v>
      </c>
      <c r="K50" s="22" t="str">
        <v>HAT-V5.epro2 / PCB2</v>
      </c>
      <c r="L50"/>
      <c r="M50"/>
    </row>
    <row r="51" ht="64" customHeight="1">
      <c r="A51" s="3" t="str">
        <v>FB3</v>
      </c>
      <c r="B51" s="22" t="str">
        <v>120R@100MHz 2A</v>
      </c>
      <c r="C51" s="22" t="str">
        <v>PE-0603PFB121ST</v>
      </c>
      <c r="D51" s="3" t="str">
        <v>C2661472</v>
      </c>
      <c r="E51" s="22" t="str">
        <v>0603</v>
      </c>
      <c r="F51" s="22" t="str">
        <v>±25% / 120Ω@100MHz / 2A</v>
      </c>
      <c r="G51" s="22" t="str">
        <v>0603_120R_2A_±25%【100只】</v>
      </c>
      <c r="H51" s="21" t="str">
        <f>HYPERLINK("https://item.taobao.com/item.htm?id=931081429973","打开订单商品")</f>
        <v>打开订单商品</v>
      </c>
      <c r="I51" s="21" t="str">
        <f>HYPERLINK("https://item.szlcsc.com/2753383.html","查看工程型号")</f>
        <v>查看工程型号</v>
      </c>
      <c r="J51" s="22" t="str">
        <v>实际采购：0603 / 120Ω@100MHz / 2A / ±25%。</v>
      </c>
      <c r="K51" s="22" t="str">
        <v>HAT-V5.epro2 / PCB2</v>
      </c>
      <c r="L51"/>
      <c r="M51"/>
    </row>
    <row r="52" ht="64" customHeight="1">
      <c r="A52" s="3" t="str">
        <v>J1</v>
      </c>
      <c r="B52" s="22" t="str">
        <v>SPK R / JST-EH 2P</v>
      </c>
      <c r="C52" s="22" t="str">
        <v>B2B-EH-A(LF)(SN)</v>
      </c>
      <c r="D52" s="3" t="str">
        <v>C160262</v>
      </c>
      <c r="E52" s="22" t="str">
        <v>插件,P=2.5mm</v>
      </c>
      <c r="F52" s="22" t="str">
        <v>250V / 3A</v>
      </c>
      <c r="G52" s="22" t="str">
        <v>EH2.5MM 2P直针座（50个）</v>
      </c>
      <c r="H52" s="21" t="str">
        <f>HYPERLINK("https://item.taobao.com/item.htm?id=832569969546","打开订单商品")</f>
        <v>打开订单商品</v>
      </c>
      <c r="I52" s="21" t="str">
        <f>HYPERLINK("https://item.szlcsc.com/171642.html","查看工程型号")</f>
        <v>查看工程型号</v>
      </c>
      <c r="J52" s="22" t="str">
        <v>EH 2P 直针座；按 EH2.5MM 2P 直针座选项购买。</v>
      </c>
      <c r="K52" s="22" t="str">
        <v>HAT-V5.epro2 / PCB2</v>
      </c>
      <c r="L52"/>
      <c r="M52"/>
    </row>
    <row r="53" ht="64" customHeight="1">
      <c r="A53" s="3" t="str">
        <v>J2</v>
      </c>
      <c r="B53" s="22" t="str">
        <v>MIC L / JST-EH 2P</v>
      </c>
      <c r="C53" s="22" t="str">
        <v>B2B-EH-A(LF)(SN)</v>
      </c>
      <c r="D53" s="3" t="str">
        <v>C160262</v>
      </c>
      <c r="E53" s="22" t="str">
        <v>插件,P=2.5mm</v>
      </c>
      <c r="F53" s="22" t="str">
        <v>250V / 3A</v>
      </c>
      <c r="G53" s="22" t="str">
        <v>EH2.5MM 2P直针座（50个）</v>
      </c>
      <c r="H53" s="21" t="str">
        <f>HYPERLINK("https://item.taobao.com/item.htm?id=832569969546","打开订单商品")</f>
        <v>打开订单商品</v>
      </c>
      <c r="I53" s="21" t="str">
        <f>HYPERLINK("https://item.szlcsc.com/171642.html","查看工程型号")</f>
        <v>查看工程型号</v>
      </c>
      <c r="J53" s="22" t="str">
        <v>EH 2P 直针座；按 EH2.5MM 2P 直针座选项购买。</v>
      </c>
      <c r="K53" s="22" t="str">
        <v>HAT-V5.epro2 / PCB2</v>
      </c>
      <c r="L53"/>
      <c r="M53"/>
    </row>
    <row r="54" ht="64" customHeight="1">
      <c r="A54" s="3" t="str">
        <v>J4</v>
      </c>
      <c r="B54" s="22" t="str">
        <v>FH-00339 stock pins / Zero pair-map / bottom</v>
      </c>
      <c r="C54" s="22" t="str">
        <v>FH-00339</v>
      </c>
      <c r="D54" s="3" t="str">
        <v>C2685112</v>
      </c>
      <c r="E54" s="22" t="str">
        <v>SMD,P=2.54mm</v>
      </c>
      <c r="F54" s="22" t="str">
        <v>3A</v>
      </c>
      <c r="G54" s="22" t="str">
        <v>2*20P 贴片排母【2个】</v>
      </c>
      <c r="H54" s="21" t="str">
        <f>HYPERLINK("https://item.taobao.com/item.htm?id=533725557959","打开订单商品")</f>
        <v>打开订单商品</v>
      </c>
      <c r="I54" s="21" t="str">
        <f>HYPERLINK("https://item.szlcsc.com/2784386.html","查看工程型号")</f>
        <v>查看工程型号</v>
      </c>
      <c r="J54" s="22" t="str">
        <v>双排 2×20P、2.54mm、贴片排母，安装在 HAT 底面。</v>
      </c>
      <c r="K54" s="22" t="str">
        <v>HAT-V5.epro2 / PCB2</v>
      </c>
      <c r="L54"/>
      <c r="M54"/>
    </row>
    <row r="55" ht="64" customHeight="1">
      <c r="A55" s="3" t="str">
        <v>J5</v>
      </c>
      <c r="B55" s="22" t="str">
        <v>ToF / Qwiic / pad 0 GND</v>
      </c>
      <c r="C55" s="22" t="str">
        <v>BM04B-SRSS-TB(LF)(SN)</v>
      </c>
      <c r="D55" s="3" t="str">
        <v>C160390</v>
      </c>
      <c r="E55" s="22" t="str">
        <v>SMD,P=1mm</v>
      </c>
      <c r="F55" s="22" t="str">
        <v>50V / 1A</v>
      </c>
      <c r="G55" s="22" t="str">
        <v>4P立贴（15个）</v>
      </c>
      <c r="H55" s="21" t="str">
        <f>HYPERLINK("https://item.taobao.com/item.htm?id=920058690376","打开订单商品")</f>
        <v>打开订单商品</v>
      </c>
      <c r="I55" s="21" t="str">
        <f>HYPERLINK("https://item.szlcsc.com/171770.html","查看工程型号")</f>
        <v>查看工程型号</v>
      </c>
      <c r="J55" s="22" t="str">
        <v>SH1.0 / 4P / 立贴，按“4P立贴（15个）”选项购买。</v>
      </c>
      <c r="K55" s="22" t="str">
        <v>HAT-V5.epro2 / PCB2</v>
      </c>
      <c r="L55"/>
      <c r="M55"/>
    </row>
    <row r="56" ht="64" customHeight="1">
      <c r="A56" s="3" t="str">
        <v>J9</v>
      </c>
      <c r="B56" s="22" t="str">
        <v>MIC R / JST-EH 2P</v>
      </c>
      <c r="C56" s="22" t="str">
        <v>B2B-EH-A(LF)(SN)</v>
      </c>
      <c r="D56" s="3" t="str">
        <v>C160262</v>
      </c>
      <c r="E56" s="22" t="str">
        <v>插件,P=2.5mm</v>
      </c>
      <c r="F56" s="22" t="str">
        <v>250V / 3A</v>
      </c>
      <c r="G56" s="22" t="str">
        <v>EH2.5MM 2P直针座（50个）</v>
      </c>
      <c r="H56" s="21" t="str">
        <f>HYPERLINK("https://item.taobao.com/item.htm?id=832569969546","打开订单商品")</f>
        <v>打开订单商品</v>
      </c>
      <c r="I56" s="21" t="str">
        <f>HYPERLINK("https://item.szlcsc.com/171642.html","查看工程型号")</f>
        <v>查看工程型号</v>
      </c>
      <c r="J56" s="22" t="str">
        <v>EH 2P 直针座；按 EH2.5MM 2P 直针座选项购买。</v>
      </c>
      <c r="K56" s="22" t="str">
        <v>HAT-V5.epro2 / PCB2</v>
      </c>
      <c r="L56"/>
      <c r="M56"/>
    </row>
    <row r="57" ht="64" customHeight="1">
      <c r="A57" s="3" t="str">
        <v>J13</v>
      </c>
      <c r="B57" s="22" t="str">
        <v>Dynamixel TTL 3P</v>
      </c>
      <c r="C57" s="22" t="str">
        <v>B3B-EH-A(LF)(SN)</v>
      </c>
      <c r="D57" s="3" t="str">
        <v>C160259</v>
      </c>
      <c r="E57" s="22" t="str">
        <v>插件,P=2.5mm</v>
      </c>
      <c r="F57" s="22" t="str">
        <v>250V / 3A</v>
      </c>
      <c r="G57" s="22" t="str">
        <v>EH2.5MM 3P直针座（50个）</v>
      </c>
      <c r="H57" s="21" t="str">
        <f>HYPERLINK("https://item.taobao.com/item.htm?id=832569969546","打开订单商品")</f>
        <v>打开订单商品</v>
      </c>
      <c r="I57" s="21" t="str">
        <f>HYPERLINK("https://item.szlcsc.com/171639.html","查看工程型号")</f>
        <v>查看工程型号</v>
      </c>
      <c r="J57" s="22" t="str">
        <v>EH 3P 直针座，HAT 两只、IMU 一只。</v>
      </c>
      <c r="K57" s="22" t="str">
        <v>HAT-V5.epro2 / PCB2</v>
      </c>
      <c r="L57"/>
      <c r="M57"/>
    </row>
    <row r="58" ht="64" customHeight="1">
      <c r="A58" s="3" t="str">
        <v>J14</v>
      </c>
      <c r="B58" s="22" t="str">
        <v>Dynamixel TTL 3P</v>
      </c>
      <c r="C58" s="22" t="str">
        <v>B3B-EH-A(LF)(SN)</v>
      </c>
      <c r="D58" s="3" t="str">
        <v>C160259</v>
      </c>
      <c r="E58" s="22" t="str">
        <v>插件,P=2.5mm</v>
      </c>
      <c r="F58" s="22" t="str">
        <v>250V / 3A</v>
      </c>
      <c r="G58" s="22" t="str">
        <v>EH2.5MM 3P直针座（50个）</v>
      </c>
      <c r="H58" s="21" t="str">
        <f>HYPERLINK("https://item.taobao.com/item.htm?id=832569969546","打开订单商品")</f>
        <v>打开订单商品</v>
      </c>
      <c r="I58" s="21" t="str">
        <f>HYPERLINK("https://item.szlcsc.com/171639.html","查看工程型号")</f>
        <v>查看工程型号</v>
      </c>
      <c r="J58" s="22" t="str">
        <v>EH 3P 直针座，HAT 两只、IMU 一只。</v>
      </c>
      <c r="K58" s="22" t="str">
        <v>HAT-V5.epro2 / PCB2</v>
      </c>
      <c r="L58"/>
      <c r="M58"/>
    </row>
    <row r="59" ht="64" customHeight="1">
      <c r="A59" s="3" t="str">
        <v>L4</v>
      </c>
      <c r="B59" s="22" t="str">
        <v>6.8uH / 3A / Isat 4.3A</v>
      </c>
      <c r="C59" s="22" t="str">
        <v>SWPA6045S6R8MT</v>
      </c>
      <c r="D59" s="3" t="str">
        <v>C57254</v>
      </c>
      <c r="E59" s="22" t="str">
        <v>SMD,6x6mm</v>
      </c>
      <c r="F59" s="22" t="str">
        <v>6.8uH / ±20% / 3A</v>
      </c>
      <c r="G59" s="22" t="str">
        <v>合金0630 6.8UH 印6R8 10个 6A 一体</v>
      </c>
      <c r="H59" s="21" t="str">
        <f>HYPERLINK("https://item.taobao.com/item.htm?id=598174251748","打开订单商品")</f>
        <v>打开订单商品</v>
      </c>
      <c r="I59" s="21" t="str">
        <f>HYPERLINK("https://item.szlcsc.com/58286.html","查看工程型号")</f>
        <v>查看工程型号</v>
      </c>
      <c r="J59" s="22" t="str">
        <v>实际使用：合金0630、6.8uH、6A一体成型电感（订单标称）。</v>
      </c>
      <c r="K59" s="22" t="str">
        <v>HAT-V5.epro2 / PCB2</v>
      </c>
      <c r="L59"/>
      <c r="M59"/>
    </row>
    <row r="60" ht="64" customHeight="1">
      <c r="A60" s="3" t="str">
        <v>MK1</v>
      </c>
      <c r="B60" s="22" t="str">
        <v>Onboard analog MEMS MIC</v>
      </c>
      <c r="C60" s="22" t="str">
        <v>LMA2718T421-OA5-2</v>
      </c>
      <c r="D60" s="3" t="str">
        <v>C7587901</v>
      </c>
      <c r="E60" s="22" t="str">
        <v>SMD-4P,2.8x1.9mm</v>
      </c>
      <c r="F60" s="22" t="str">
        <v>指向性:全指向；信噪比:55dB；灵敏度:-42dB；阻抗:300Ω</v>
      </c>
      <c r="G60" s="22" t="str">
        <v>2718 上进音 硅麦克风【2个】</v>
      </c>
      <c r="H60" s="21" t="str">
        <f>HYPERLINK("https://item.taobao.com/item.htm?id=996702312391","打开订单商品")</f>
        <v>打开订单商品</v>
      </c>
      <c r="I60" s="21" t="str">
        <f>HYPERLINK("https://item.szlcsc.com/8705873.html","查看工程型号")</f>
        <v>查看工程型号</v>
      </c>
      <c r="J60" s="22" t="str">
        <v>实际使用：2718 上进音模拟 MEMS 麦克风，按“2718 上进音 硅麦克风【2个】”购买。</v>
      </c>
      <c r="K60" s="22" t="str">
        <v>HAT-V5.epro2 / PCB2</v>
      </c>
      <c r="L60"/>
      <c r="M60"/>
    </row>
    <row r="61" ht="64" customHeight="1">
      <c r="A61" s="3" t="str">
        <v>Q1</v>
      </c>
      <c r="B61" s="22" t="str">
        <v>MMBT3906 / direction</v>
      </c>
      <c r="C61" s="22" t="str">
        <v>MMBT3906</v>
      </c>
      <c r="D61" s="3" t="str">
        <v>C727128</v>
      </c>
      <c r="E61" s="22" t="str">
        <v>SOT-23</v>
      </c>
      <c r="F61" s="22" t="str">
        <v>晶体管类型:PNP；集电极电流(Ic):200mA；集射极击穿电压(Vceo):40V；耗散功率(Pd):200mW；直流电流增益(hFE):100@10mA,1V</v>
      </c>
      <c r="G61" s="22" t="str">
        <v>MMBT3906 丝印2A SOT-23(50个)</v>
      </c>
      <c r="H61" s="21" t="str">
        <f>HYPERLINK("https://item.taobao.com/item.htm?id=944306254140","打开订单商品")</f>
        <v>打开订单商品</v>
      </c>
      <c r="I61" s="21" t="str">
        <f>HYPERLINK("https://item.szlcsc.com/774233.html","查看工程型号")</f>
        <v>查看工程型号</v>
      </c>
      <c r="J61" s="22" t="str">
        <v>选择 MMBT3906 / PNP / SOT-23 款式。</v>
      </c>
      <c r="K61" s="22" t="str">
        <v>HAT-V5.epro2 / PCB2</v>
      </c>
      <c r="L61"/>
      <c r="M61"/>
    </row>
    <row r="62" ht="64" customHeight="1">
      <c r="A62" s="3" t="str">
        <v>Q2</v>
      </c>
      <c r="B62" s="22" t="str">
        <v>SI2312 / ideal diode MOS</v>
      </c>
      <c r="C62" s="22" t="str">
        <v>SI2312CDS-T1-GE3</v>
      </c>
      <c r="D62" s="3" t="str">
        <v>C142518</v>
      </c>
      <c r="E62" s="22" t="str">
        <v>SOT-23</v>
      </c>
      <c r="F62" s="22" t="str">
        <v>数量:1个N沟道；漏源电压(Vdss):20V；连续漏极电流(Id):6A；导通电阻(RDS(on)):41.4mΩ@1.8V,5.6A；耗散功率(Pd):2.1W；阈值电压(Vgs(th)):1V@250uA</v>
      </c>
      <c r="G62" s="22" t="str">
        <v>SI2312DS（AE9T）N沟道（20只）</v>
      </c>
      <c r="H62" s="21" t="str">
        <f>HYPERLINK("https://item.taobao.com/item.htm?id=909264246006","打开订单商品")</f>
        <v>打开订单商品</v>
      </c>
      <c r="I62" s="21" t="str">
        <f>HYPERLINK("https://item.szlcsc.com/153849.html","查看工程型号")</f>
        <v>查看工程型号</v>
      </c>
      <c r="J62" s="22" t="str">
        <v>实际使用：SI2312DS（AE9T）N沟道，20只包装。</v>
      </c>
      <c r="K62" s="22" t="str">
        <v>HAT-V5.epro2 / PCB2</v>
      </c>
      <c r="L62"/>
      <c r="M62"/>
    </row>
    <row r="63" ht="64" customHeight="1">
      <c r="A63" s="3" t="str">
        <v>R1</v>
      </c>
      <c r="B63" s="22" t="str">
        <v>10k / INL</v>
      </c>
      <c r="C63" s="22" t="str">
        <v>RC0603FR-0710KL</v>
      </c>
      <c r="D63" s="3" t="str">
        <v>C98220</v>
      </c>
      <c r="E63" s="22" t="str">
        <v>0603</v>
      </c>
      <c r="F63" s="22" t="str">
        <v>10kΩ / ±1% / ±100ppm/℃ / 100mW</v>
      </c>
      <c r="G63" s="22" t="str">
        <v>10K;0603 1%（100个）</v>
      </c>
      <c r="H63" s="21" t="str">
        <f>HYPERLINK("https://item.taobao.com/item.htm?id=947267344247","打开订单商品")</f>
        <v>打开订单商品</v>
      </c>
      <c r="I63" s="21" t="str">
        <f>HYPERLINK("https://item.szlcsc.com/99429.html","查看工程型号")</f>
        <v>查看工程型号</v>
      </c>
      <c r="J63" s="22" t="str">
        <v>10kΩ / ±1% / 0603；HAT 十二只、IMU 三只。</v>
      </c>
      <c r="K63" s="22" t="str">
        <v>HAT-V5.epro2 / PCB2</v>
      </c>
      <c r="L63"/>
      <c r="M63"/>
    </row>
    <row r="64" ht="64" customHeight="1">
      <c r="A64" s="3" t="str">
        <v>R2</v>
      </c>
      <c r="B64" s="22" t="str">
        <v>10k / INR</v>
      </c>
      <c r="C64" s="22" t="str">
        <v>RC0603FR-0710KL</v>
      </c>
      <c r="D64" s="3" t="str">
        <v>C98220</v>
      </c>
      <c r="E64" s="22" t="str">
        <v>0603</v>
      </c>
      <c r="F64" s="22" t="str">
        <v>10kΩ / ±1% / ±100ppm/℃ / 100mW</v>
      </c>
      <c r="G64" s="22" t="str">
        <v>10K;0603 1%（100个）</v>
      </c>
      <c r="H64" s="21" t="str">
        <f>HYPERLINK("https://item.taobao.com/item.htm?id=947267344247","打开订单商品")</f>
        <v>打开订单商品</v>
      </c>
      <c r="I64" s="21" t="str">
        <f>HYPERLINK("https://item.szlcsc.com/99429.html","查看工程型号")</f>
        <v>查看工程型号</v>
      </c>
      <c r="J64" s="22" t="str">
        <v>10kΩ / ±1% / 0603；HAT 十二只、IMU 三只。</v>
      </c>
      <c r="K64" s="22" t="str">
        <v>HAT-V5.epro2 / PCB2</v>
      </c>
      <c r="L64"/>
      <c r="M64"/>
    </row>
    <row r="65" ht="64" customHeight="1">
      <c r="A65" s="3" t="str">
        <v>R3</v>
      </c>
      <c r="B65" s="22" t="str">
        <v>0R / SHDN high</v>
      </c>
      <c r="C65" s="22" t="str">
        <v>0603WAF0000T5E</v>
      </c>
      <c r="D65" s="3" t="str">
        <v>C21189</v>
      </c>
      <c r="E65" s="22" t="str">
        <v>0603</v>
      </c>
      <c r="F65" s="22" t="str">
        <v>0Ω / ±1% / - / 100mW</v>
      </c>
      <c r="G65" s="22" t="str">
        <v>0R/0欧;0603 1%（100个）</v>
      </c>
      <c r="H65" s="21" t="str">
        <f>HYPERLINK("https://item.taobao.com/item.htm?id=947267344247","打开订单商品")</f>
        <v>打开订单商品</v>
      </c>
      <c r="I65" s="21" t="str">
        <f>HYPERLINK("https://item.szlcsc.com/21903.html","查看工程型号")</f>
        <v>查看工程型号</v>
      </c>
      <c r="J65" s="22" t="str">
        <v>0Ω / 0603；HAT R33 按后续 0Ω / C21189 补丁计入。</v>
      </c>
      <c r="K65" s="22" t="str">
        <v>HAT-V5.epro2 / PCB2</v>
      </c>
      <c r="L65"/>
      <c r="M65"/>
    </row>
    <row r="66" ht="64" customHeight="1">
      <c r="A66" s="3" t="str">
        <v>R4</v>
      </c>
      <c r="B66" s="22" t="str">
        <v>0R / MUTE high</v>
      </c>
      <c r="C66" s="22" t="str">
        <v>0603WAF0000T5E</v>
      </c>
      <c r="D66" s="3" t="str">
        <v>C21189</v>
      </c>
      <c r="E66" s="22" t="str">
        <v>0603</v>
      </c>
      <c r="F66" s="22" t="str">
        <v>0Ω / ±1% / - / 100mW</v>
      </c>
      <c r="G66" s="22" t="str">
        <v>0R/0欧;0603 1%（100个）</v>
      </c>
      <c r="H66" s="21" t="str">
        <f>HYPERLINK("https://item.taobao.com/item.htm?id=947267344247","打开订单商品")</f>
        <v>打开订单商品</v>
      </c>
      <c r="I66" s="21" t="str">
        <f>HYPERLINK("https://item.szlcsc.com/21903.html","查看工程型号")</f>
        <v>查看工程型号</v>
      </c>
      <c r="J66" s="22" t="str">
        <v>0Ω / 0603；HAT R33 按后续 0Ω / C21189 补丁计入。</v>
      </c>
      <c r="K66" s="22" t="str">
        <v>HAT-V5.epro2 / PCB2</v>
      </c>
      <c r="L66"/>
      <c r="M66"/>
    </row>
    <row r="67" ht="64" customHeight="1">
      <c r="A67" s="3" t="str">
        <v>R5</v>
      </c>
      <c r="B67" s="22" t="str">
        <v>0R / MODE high</v>
      </c>
      <c r="C67" s="22" t="str">
        <v>0603WAF0000T5E</v>
      </c>
      <c r="D67" s="3" t="str">
        <v>C21189</v>
      </c>
      <c r="E67" s="22" t="str">
        <v>0603</v>
      </c>
      <c r="F67" s="22" t="str">
        <v>0Ω / ±1% / - / 100mW</v>
      </c>
      <c r="G67" s="22" t="str">
        <v>0R/0欧;0603 1%（100个）</v>
      </c>
      <c r="H67" s="21" t="str">
        <f>HYPERLINK("https://item.taobao.com/item.htm?id=947267344247","打开订单商品")</f>
        <v>打开订单商品</v>
      </c>
      <c r="I67" s="21" t="str">
        <f>HYPERLINK("https://item.szlcsc.com/21903.html","查看工程型号")</f>
        <v>查看工程型号</v>
      </c>
      <c r="J67" s="22" t="str">
        <v>0Ω / 0603；HAT R33 按后续 0Ω / C21189 补丁计入。</v>
      </c>
      <c r="K67" s="22" t="str">
        <v>HAT-V5.epro2 / PCB2</v>
      </c>
      <c r="L67"/>
      <c r="M67"/>
    </row>
    <row r="68" ht="64" customHeight="1">
      <c r="A68" s="3" t="str">
        <v>R6</v>
      </c>
      <c r="B68" s="22" t="str">
        <v>10k / codec reset</v>
      </c>
      <c r="C68" s="22" t="str">
        <v>RC0603FR-0710KL</v>
      </c>
      <c r="D68" s="3" t="str">
        <v>C98220</v>
      </c>
      <c r="E68" s="22" t="str">
        <v>0603</v>
      </c>
      <c r="F68" s="22" t="str">
        <v>10kΩ / ±1% / ±100ppm/℃ / 100mW</v>
      </c>
      <c r="G68" s="22" t="str">
        <v>10K;0603 1%（100个）</v>
      </c>
      <c r="H68" s="21" t="str">
        <f>HYPERLINK("https://item.taobao.com/item.htm?id=947267344247","打开订单商品")</f>
        <v>打开订单商品</v>
      </c>
      <c r="I68" s="21" t="str">
        <f>HYPERLINK("https://item.szlcsc.com/99429.html","查看工程型号")</f>
        <v>查看工程型号</v>
      </c>
      <c r="J68" s="22" t="str">
        <v>10kΩ / ±1% / 0603；HAT 十二只、IMU 三只。</v>
      </c>
      <c r="K68" s="22" t="str">
        <v>HAT-V5.epro2 / PCB2</v>
      </c>
      <c r="L68"/>
      <c r="M68"/>
    </row>
    <row r="69" ht="64" customHeight="1">
      <c r="A69" s="3" t="str">
        <v>R7</v>
      </c>
      <c r="B69" s="22" t="str">
        <v>0R / MIC2L to GND</v>
      </c>
      <c r="C69" s="22" t="str">
        <v>0603WAF0000T5E</v>
      </c>
      <c r="D69" s="3" t="str">
        <v>C21189</v>
      </c>
      <c r="E69" s="22" t="str">
        <v>0603</v>
      </c>
      <c r="F69" s="22" t="str">
        <v>0Ω / ±1% / - / 100mW</v>
      </c>
      <c r="G69" s="22" t="str">
        <v>0R/0欧;0603 1%（100个）</v>
      </c>
      <c r="H69" s="21" t="str">
        <f>HYPERLINK("https://item.taobao.com/item.htm?id=947267344247","打开订单商品")</f>
        <v>打开订单商品</v>
      </c>
      <c r="I69" s="21" t="str">
        <f>HYPERLINK("https://item.szlcsc.com/21903.html","查看工程型号")</f>
        <v>查看工程型号</v>
      </c>
      <c r="J69" s="22" t="str">
        <v>0Ω / 0603；HAT R33 按后续 0Ω / C21189 补丁计入。</v>
      </c>
      <c r="K69" s="22" t="str">
        <v>HAT-V5.epro2 / PCB2</v>
      </c>
      <c r="L69"/>
      <c r="M69"/>
    </row>
    <row r="70" ht="64" customHeight="1">
      <c r="A70" s="3" t="str">
        <v>R8</v>
      </c>
      <c r="B70" s="22" t="str">
        <v>100R</v>
      </c>
      <c r="C70" s="22" t="str">
        <v>0603WAF1000T5E</v>
      </c>
      <c r="D70" s="3" t="str">
        <v>C22775</v>
      </c>
      <c r="E70" s="22" t="str">
        <v>0603</v>
      </c>
      <c r="F70" s="22" t="str">
        <v>100Ω / ±1% / ±200ppm/℃ / 100mW</v>
      </c>
      <c r="G70" s="22" t="str">
        <v>100R/100欧;0603 1%（100个）</v>
      </c>
      <c r="H70" s="21" t="str">
        <f>HYPERLINK("https://item.taobao.com/item.htm?id=947267344247","打开订单商品")</f>
        <v>打开订单商品</v>
      </c>
      <c r="I70" s="21" t="str">
        <f>HYPERLINK("https://www.lcsc.com/product-detail/C22775.html","查看工程型号")</f>
        <v>查看工程型号</v>
      </c>
      <c r="J70" s="22" t="str">
        <v>100Ω / ±1% / 0603，用于 HAT R8。</v>
      </c>
      <c r="K70" s="22" t="str">
        <v>HAT-V5.epro2 / PCB2</v>
      </c>
      <c r="L70"/>
      <c r="M70"/>
    </row>
    <row r="71" ht="64" customHeight="1">
      <c r="A71" s="3" t="str">
        <v>R12</v>
      </c>
      <c r="B71" s="22" t="str">
        <v>10k / SDA pull-up</v>
      </c>
      <c r="C71" s="22" t="str">
        <v>RC0603FR-0710KL</v>
      </c>
      <c r="D71" s="3" t="str">
        <v>C98220</v>
      </c>
      <c r="E71" s="22" t="str">
        <v>0603</v>
      </c>
      <c r="F71" s="22" t="str">
        <v>10kΩ / ±1% / ±100ppm/℃ / 100mW</v>
      </c>
      <c r="G71" s="22" t="str">
        <v>10K;0603 1%（100个）</v>
      </c>
      <c r="H71" s="21" t="str">
        <f>HYPERLINK("https://item.taobao.com/item.htm?id=947267344247","打开订单商品")</f>
        <v>打开订单商品</v>
      </c>
      <c r="I71" s="21" t="str">
        <f>HYPERLINK("https://item.szlcsc.com/99429.html","查看工程型号")</f>
        <v>查看工程型号</v>
      </c>
      <c r="J71" s="22" t="str">
        <v>10kΩ / ±1% / 0603；HAT 十二只、IMU 三只。</v>
      </c>
      <c r="K71" s="22" t="str">
        <v>HAT-V5.epro2 / PCB2</v>
      </c>
      <c r="L71"/>
      <c r="M71"/>
    </row>
    <row r="72" ht="64" customHeight="1">
      <c r="A72" s="3" t="str">
        <v>R13</v>
      </c>
      <c r="B72" s="22" t="str">
        <v>10k / SCL pull-up</v>
      </c>
      <c r="C72" s="22" t="str">
        <v>RC0603FR-0710KL</v>
      </c>
      <c r="D72" s="3" t="str">
        <v>C98220</v>
      </c>
      <c r="E72" s="22" t="str">
        <v>0603</v>
      </c>
      <c r="F72" s="22" t="str">
        <v>10kΩ / ±1% / ±100ppm/℃ / 100mW</v>
      </c>
      <c r="G72" s="22" t="str">
        <v>10K;0603 1%（100个）</v>
      </c>
      <c r="H72" s="21" t="str">
        <f>HYPERLINK("https://item.taobao.com/item.htm?id=947267344247","打开订单商品")</f>
        <v>打开订单商品</v>
      </c>
      <c r="I72" s="21" t="str">
        <f>HYPERLINK("https://item.szlcsc.com/99429.html","查看工程型号")</f>
        <v>查看工程型号</v>
      </c>
      <c r="J72" s="22" t="str">
        <v>10kΩ / ±1% / 0603；HAT 十二只、IMU 三只。</v>
      </c>
      <c r="K72" s="22" t="str">
        <v>HAT-V5.epro2 / PCB2</v>
      </c>
      <c r="L72"/>
      <c r="M72"/>
    </row>
    <row r="73" ht="64" customHeight="1">
      <c r="A73" s="3" t="str">
        <v>R22</v>
      </c>
      <c r="B73" s="22" t="str">
        <v>10k / MIC L bias</v>
      </c>
      <c r="C73" s="22" t="str">
        <v>RC0603FR-0710KL</v>
      </c>
      <c r="D73" s="3" t="str">
        <v>C98220</v>
      </c>
      <c r="E73" s="22" t="str">
        <v>0603</v>
      </c>
      <c r="F73" s="22" t="str">
        <v>10kΩ / ±1% / ±100ppm/℃ / 100mW</v>
      </c>
      <c r="G73" s="22" t="str">
        <v>10K;0603 1%（100个）</v>
      </c>
      <c r="H73" s="21" t="str">
        <f>HYPERLINK("https://item.taobao.com/item.htm?id=947267344247","打开订单商品")</f>
        <v>打开订单商品</v>
      </c>
      <c r="I73" s="21" t="str">
        <f>HYPERLINK("https://item.szlcsc.com/99429.html","查看工程型号")</f>
        <v>查看工程型号</v>
      </c>
      <c r="J73" s="22" t="str">
        <v>10kΩ / ±1% / 0603；HAT 十二只、IMU 三只。</v>
      </c>
      <c r="K73" s="22" t="str">
        <v>HAT-V5.epro2 / PCB2</v>
      </c>
      <c r="L73"/>
      <c r="M73"/>
    </row>
    <row r="74" ht="64" customHeight="1">
      <c r="A74" s="3" t="str">
        <v>R23</v>
      </c>
      <c r="B74" s="22" t="str">
        <v>10k / MIC R bias</v>
      </c>
      <c r="C74" s="22" t="str">
        <v>RC0603FR-0710KL</v>
      </c>
      <c r="D74" s="3" t="str">
        <v>C98220</v>
      </c>
      <c r="E74" s="22" t="str">
        <v>0603</v>
      </c>
      <c r="F74" s="22" t="str">
        <v>10kΩ / ±1% / ±100ppm/℃ / 100mW</v>
      </c>
      <c r="G74" s="22" t="str">
        <v>10K;0603 1%（100个）</v>
      </c>
      <c r="H74" s="21" t="str">
        <f>HYPERLINK("https://item.taobao.com/item.htm?id=947267344247","打开订单商品")</f>
        <v>打开订单商品</v>
      </c>
      <c r="I74" s="21" t="str">
        <f>HYPERLINK("https://item.szlcsc.com/99429.html","查看工程型号")</f>
        <v>查看工程型号</v>
      </c>
      <c r="J74" s="22" t="str">
        <v>10kΩ / ±1% / 0603；HAT 十二只、IMU 三只。</v>
      </c>
      <c r="K74" s="22" t="str">
        <v>HAT-V5.epro2 / PCB2</v>
      </c>
      <c r="L74"/>
      <c r="M74"/>
    </row>
    <row r="75" ht="64" customHeight="1">
      <c r="A75" s="3" t="str">
        <v>R26</v>
      </c>
      <c r="B75" s="22" t="str">
        <v>10k / UART TX pull-up</v>
      </c>
      <c r="C75" s="22" t="str">
        <v>RC0603FR-0710KL</v>
      </c>
      <c r="D75" s="3" t="str">
        <v>C98220</v>
      </c>
      <c r="E75" s="22" t="str">
        <v>0603</v>
      </c>
      <c r="F75" s="22" t="str">
        <v>10kΩ / ±1% / ±100ppm/℃ / 100mW</v>
      </c>
      <c r="G75" s="22" t="str">
        <v>10K;0603 1%（100个）</v>
      </c>
      <c r="H75" s="21" t="str">
        <f>HYPERLINK("https://item.taobao.com/item.htm?id=947267344247","打开订单商品")</f>
        <v>打开订单商品</v>
      </c>
      <c r="I75" s="21" t="str">
        <f>HYPERLINK("https://item.szlcsc.com/99429.html","查看工程型号")</f>
        <v>查看工程型号</v>
      </c>
      <c r="J75" s="22" t="str">
        <v>10kΩ / ±1% / 0603；HAT 十二只、IMU 三只。</v>
      </c>
      <c r="K75" s="22" t="str">
        <v>HAT-V5.epro2 / PCB2</v>
      </c>
      <c r="L75"/>
      <c r="M75"/>
    </row>
    <row r="76" ht="64" customHeight="1">
      <c r="A76" s="3" t="str">
        <v>R27</v>
      </c>
      <c r="B76" s="22" t="str">
        <v>10k / direction base</v>
      </c>
      <c r="C76" s="22" t="str">
        <v>RC0603FR-0710KL</v>
      </c>
      <c r="D76" s="3" t="str">
        <v>C98220</v>
      </c>
      <c r="E76" s="22" t="str">
        <v>0603</v>
      </c>
      <c r="F76" s="22" t="str">
        <v>10kΩ / ±1% / ±100ppm/℃ / 100mW</v>
      </c>
      <c r="G76" s="22" t="str">
        <v>10K;0603 1%（100个）</v>
      </c>
      <c r="H76" s="21" t="str">
        <f>HYPERLINK("https://item.taobao.com/item.htm?id=947267344247","打开订单商品")</f>
        <v>打开订单商品</v>
      </c>
      <c r="I76" s="21" t="str">
        <f>HYPERLINK("https://item.szlcsc.com/99429.html","查看工程型号")</f>
        <v>查看工程型号</v>
      </c>
      <c r="J76" s="22" t="str">
        <v>10kΩ / ±1% / 0603；HAT 十二只、IMU 三只。</v>
      </c>
      <c r="K76" s="22" t="str">
        <v>HAT-V5.epro2 / PCB2</v>
      </c>
      <c r="L76"/>
      <c r="M76"/>
    </row>
    <row r="77" ht="64" customHeight="1">
      <c r="A77" s="3" t="str">
        <v>R28</v>
      </c>
      <c r="B77" s="22" t="str">
        <v>20k / direction pull-down</v>
      </c>
      <c r="C77" s="22" t="str">
        <v>0603WAF2002T5E</v>
      </c>
      <c r="D77" s="3" t="str">
        <v>C4184</v>
      </c>
      <c r="E77" s="22" t="str">
        <v>0603</v>
      </c>
      <c r="F77" s="22" t="str">
        <v>20kΩ / ±1% / ±100ppm/℃ / 100mW</v>
      </c>
      <c r="G77" s="22" t="str">
        <v>20K;0603 1%（100个）</v>
      </c>
      <c r="H77" s="21" t="str">
        <f>HYPERLINK("https://item.taobao.com/item.htm?id=947267344247","打开订单商品")</f>
        <v>打开订单商品</v>
      </c>
      <c r="I77" s="21" t="str">
        <f>HYPERLINK("https://item.szlcsc.com/4591.html","查看工程型号")</f>
        <v>查看工程型号</v>
      </c>
      <c r="J77" s="22" t="str">
        <v>20kΩ / ±1% / 0603。</v>
      </c>
      <c r="K77" s="22" t="str">
        <v>HAT-V5.epro2 / PCB2</v>
      </c>
      <c r="L77"/>
      <c r="M77"/>
    </row>
    <row r="78" ht="64" customHeight="1">
      <c r="A78" s="3" t="str">
        <v>R29</v>
      </c>
      <c r="B78" s="22" t="str">
        <v>10k / RX gate enable</v>
      </c>
      <c r="C78" s="22" t="str">
        <v>RC0603FR-0710KL</v>
      </c>
      <c r="D78" s="3" t="str">
        <v>C98220</v>
      </c>
      <c r="E78" s="22" t="str">
        <v>0603</v>
      </c>
      <c r="F78" s="22" t="str">
        <v>10kΩ / ±1% / ±100ppm/℃ / 100mW</v>
      </c>
      <c r="G78" s="22" t="str">
        <v>10K;0603 1%（100个）</v>
      </c>
      <c r="H78" s="21" t="str">
        <f>HYPERLINK("https://item.taobao.com/item.htm?id=947267344247","打开订单商品")</f>
        <v>打开订单商品</v>
      </c>
      <c r="I78" s="21" t="str">
        <f>HYPERLINK("https://item.szlcsc.com/99429.html","查看工程型号")</f>
        <v>查看工程型号</v>
      </c>
      <c r="J78" s="22" t="str">
        <v>10kΩ / ±1% / 0603；HAT 十二只、IMU 三只。</v>
      </c>
      <c r="K78" s="22" t="str">
        <v>HAT-V5.epro2 / PCB2</v>
      </c>
      <c r="L78"/>
      <c r="M78"/>
    </row>
    <row r="79" ht="64" customHeight="1">
      <c r="A79" s="3" t="str">
        <v>R31</v>
      </c>
      <c r="B79" s="22" t="str">
        <v>10k / RX pull-up</v>
      </c>
      <c r="C79" s="22" t="str">
        <v>RC0603FR-0710KL</v>
      </c>
      <c r="D79" s="3" t="str">
        <v>C98220</v>
      </c>
      <c r="E79" s="22" t="str">
        <v>0603</v>
      </c>
      <c r="F79" s="22" t="str">
        <v>10kΩ / ±1% / ±100ppm/℃ / 100mW</v>
      </c>
      <c r="G79" s="22" t="str">
        <v>10K;0603 1%（100个）</v>
      </c>
      <c r="H79" s="21" t="str">
        <f>HYPERLINK("https://item.taobao.com/item.htm?id=947267344247","打开订单商品")</f>
        <v>打开订单商品</v>
      </c>
      <c r="I79" s="21" t="str">
        <f>HYPERLINK("https://item.szlcsc.com/99429.html","查看工程型号")</f>
        <v>查看工程型号</v>
      </c>
      <c r="J79" s="22" t="str">
        <v>10kΩ / ±1% / 0603；HAT 十二只、IMU 三只。</v>
      </c>
      <c r="K79" s="22" t="str">
        <v>HAT-V5.epro2 / PCB2</v>
      </c>
      <c r="L79"/>
      <c r="M79"/>
    </row>
    <row r="80" ht="64" customHeight="1">
      <c r="A80" s="3" t="str">
        <v>R32</v>
      </c>
      <c r="B80" s="22" t="str">
        <v>10k / data pull-up</v>
      </c>
      <c r="C80" s="22" t="str">
        <v>RC0603FR-0710KL</v>
      </c>
      <c r="D80" s="3" t="str">
        <v>C98220</v>
      </c>
      <c r="E80" s="22" t="str">
        <v>0603</v>
      </c>
      <c r="F80" s="22" t="str">
        <v>10kΩ / ±1% / ±100ppm/℃ / 100mW</v>
      </c>
      <c r="G80" s="22" t="str">
        <v>10K;0603 1%（100个）</v>
      </c>
      <c r="H80" s="21" t="str">
        <f>HYPERLINK("https://item.taobao.com/item.htm?id=947267344247","打开订单商品")</f>
        <v>打开订单商品</v>
      </c>
      <c r="I80" s="21" t="str">
        <f>HYPERLINK("https://item.szlcsc.com/99429.html","查看工程型号")</f>
        <v>查看工程型号</v>
      </c>
      <c r="J80" s="22" t="str">
        <v>10kΩ / ±1% / 0603；HAT 十二只、IMU 三只。</v>
      </c>
      <c r="K80" s="22" t="str">
        <v>HAT-V5.epro2 / PCB2</v>
      </c>
      <c r="L80"/>
      <c r="M80"/>
    </row>
    <row r="81" ht="64" customHeight="1">
      <c r="A81" s="3" t="str">
        <v>R33</v>
      </c>
      <c r="B81" s="22" t="str">
        <v>150R / bus series</v>
      </c>
      <c r="C81" s="22" t="str">
        <v>0603WAF1500T5E</v>
      </c>
      <c r="D81" s="3" t="str">
        <v>C22808</v>
      </c>
      <c r="E81" s="22" t="str">
        <v>0603</v>
      </c>
      <c r="F81" s="22" t="str">
        <v>150Ω / ±1% / ±100ppm/℃ / 100mW</v>
      </c>
      <c r="G81" s="22" t="str">
        <v>0603WAF0000T5E</v>
      </c>
      <c r="H81" s="21" t="str">
        <f>HYPERLINK("https://item.taobao.com/item.htm?id=947267344247","打开订单商品")</f>
        <v>打开订单商品</v>
      </c>
      <c r="I81" s="21" t="str">
        <f>HYPERLINK("https://www.lcsc.com/product-detail/C22808.html","查看工程型号")</f>
        <v>查看工程型号</v>
      </c>
      <c r="J81" s="22" t="str">
        <v>0Ω / 0603；HAT R33 按后续 0Ω / C21189 补丁计入。</v>
      </c>
      <c r="K81" s="22" t="str">
        <v>HAT-V5.epro2 / PCB2</v>
      </c>
      <c r="L81"/>
      <c r="M81"/>
    </row>
    <row r="82" ht="64" customHeight="1">
      <c r="A82" s="3" t="str">
        <v>TH1</v>
      </c>
      <c r="B82" s="22" t="str">
        <v>100R PTC</v>
      </c>
      <c r="C82" s="22" t="str">
        <v>PRG18BB101MB1RB</v>
      </c>
      <c r="D82" s="3" t="str">
        <v>C913703</v>
      </c>
      <c r="E82" s="22" t="str">
        <v>0603</v>
      </c>
      <c r="F82" s="22" t="str"/>
      <c r="G82" s="22" t="str">
        <v>22Ω 0603 ±1% 电阻</v>
      </c>
      <c r="H82" s="21" t="str">
        <f>HYPERLINK("https://item.taobao.com/item.htm?id=947267344247","打开订单商品")</f>
        <v>打开订单商品</v>
      </c>
      <c r="I82" s="21" t="str">
        <f>HYPERLINK("https://item.szlcsc.com/984022.html","查看工程型号")</f>
        <v>查看工程型号</v>
      </c>
      <c r="J82" s="22" t="str">
        <v>TH1 位置实际使用 22Ω / ±1% / 0603 电阻；工程原值保留在位号表。</v>
      </c>
      <c r="K82" s="22" t="str">
        <v>HAT-V5.epro2 / PCB2</v>
      </c>
      <c r="L82"/>
      <c r="M82"/>
    </row>
    <row r="83" ht="64" customHeight="1">
      <c r="A83" s="3" t="str">
        <v>U1</v>
      </c>
      <c r="B83" s="22" t="str">
        <v>PAM8406D</v>
      </c>
      <c r="C83" s="22" t="str">
        <v>PAM8406DR</v>
      </c>
      <c r="D83" s="3" t="str">
        <v>C86270</v>
      </c>
      <c r="E83" s="22" t="str">
        <v>SOIC-16</v>
      </c>
      <c r="F83" s="22" t="str">
        <v>功放类型:AB类功放；D类功放；扬声器通道数:双声道；输出功率:5Wx2@2Ω；静态电流(Iq):10mA</v>
      </c>
      <c r="G83" s="22" t="str">
        <v>PAM8406DR</v>
      </c>
      <c r="H83" s="21" t="str">
        <f>HYPERLINK("https://item.taobao.com/item.htm?id=808484505787","打开订单商品")</f>
        <v>打开订单商品</v>
      </c>
      <c r="I83" s="21" t="str">
        <f>HYPERLINK("https://item.szlcsc.com/87446.html","查看工程型号")</f>
        <v>查看工程型号</v>
      </c>
      <c r="J83" s="22" t="str">
        <v>实际使用：PAM8406DR，订单标注 SOP16。</v>
      </c>
      <c r="K83" s="22" t="str">
        <v>HAT-V5.epro2 / PCB2</v>
      </c>
      <c r="L83"/>
      <c r="M83"/>
    </row>
    <row r="84" ht="64" customHeight="1">
      <c r="A84" s="3" t="str">
        <v>U2</v>
      </c>
      <c r="B84" s="22" t="str">
        <v>TLV320AIC3104IRHBR</v>
      </c>
      <c r="C84" s="22" t="str">
        <v>TLV320AIC3104IRHBR</v>
      </c>
      <c r="D84" s="3" t="str">
        <v>C181753</v>
      </c>
      <c r="E84" s="22" t="str">
        <v>HVQFN-32-EP(5x5)</v>
      </c>
      <c r="F84" s="22" t="str">
        <v>类型:编解码器；接口类型:I2S；I2C；采样率:8kHz~96kHz</v>
      </c>
      <c r="G84" s="22" t="str">
        <v>商品无选项，按商品标题完整型号购买</v>
      </c>
      <c r="H84" s="21" t="str">
        <f>HYPERLINK("https://item.taobao.com/item.htm?id=908248360601","打开订单商品")</f>
        <v>打开订单商品</v>
      </c>
      <c r="I84" s="21" t="str">
        <f>HYPERLINK("https://www.lcsc.com/product-detail/C181753.html","查看工程型号")</f>
        <v>查看工程型号</v>
      </c>
      <c r="J84" s="22" t="str">
        <v>TLV320AIC3104IRHBR，按商品完整型号购买。</v>
      </c>
      <c r="K84" s="22" t="str">
        <v>HAT-V5.epro2 / PCB2</v>
      </c>
      <c r="L84"/>
      <c r="M84"/>
    </row>
    <row r="85" ht="64" customHeight="1">
      <c r="A85" s="3" t="str">
        <v>U3</v>
      </c>
      <c r="B85" s="22" t="str">
        <v>XC6206P182 / 1V8</v>
      </c>
      <c r="C85" s="22" t="str">
        <v>XC6206P182MR</v>
      </c>
      <c r="D85" s="3" t="str">
        <v>C347373</v>
      </c>
      <c r="E85" s="22" t="str">
        <v>SOT-23</v>
      </c>
      <c r="F85" s="22" t="str">
        <v>输出极性:正极；工作电压:8V；输出电压:1.8V；输出电流:250mA；电源纹波抑制比(PSRR):40dB@(1kHz)；输出类型:固定</v>
      </c>
      <c r="G85" s="22" t="str">
        <v>XC6206P182MR 65K5 SOT-23 (20个)</v>
      </c>
      <c r="H85" s="21" t="str">
        <f>HYPERLINK("https://item.taobao.com/item.htm?id=762173333947","打开订单商品")</f>
        <v>打开订单商品</v>
      </c>
      <c r="I85" s="21" t="str">
        <f>HYPERLINK("https://item.szlcsc.com/324033.html","查看工程型号")</f>
        <v>查看工程型号</v>
      </c>
      <c r="J85" s="22" t="str">
        <v>XC6206P182MR / 1.8V / SOT-23，20个包装。</v>
      </c>
      <c r="K85" s="22" t="str">
        <v>HAT-V5.epro2 / PCB2</v>
      </c>
      <c r="L85"/>
      <c r="M85"/>
    </row>
    <row r="86" ht="64" customHeight="1">
      <c r="A86" s="3" t="str">
        <v>U5</v>
      </c>
      <c r="B86" s="22" t="str">
        <v>74LVC1G08 / RX gate</v>
      </c>
      <c r="C86" s="22" t="str">
        <v>SN74LVC1G08DBVR</v>
      </c>
      <c r="D86" s="3" t="str">
        <v>C7666</v>
      </c>
      <c r="E86" s="22" t="str">
        <v>SOT-23-5</v>
      </c>
      <c r="F86" s="22" t="str">
        <v>逻辑类型:与门；通道数:1；工作电压:1.65V~5.5V；静态电流(Iq):10uA；传播延迟(tpd):4ns@5V,50pF</v>
      </c>
      <c r="G86" s="22" t="str">
        <v>SN74LVC1G08DBVR;5个全国包邮</v>
      </c>
      <c r="H86" s="21" t="str">
        <f>HYPERLINK("https://item.taobao.com/item.htm?id=902117985110","打开订单商品")</f>
        <v>打开订单商品</v>
      </c>
      <c r="I86" s="21" t="str">
        <f>HYPERLINK("https://www.lcsc.com/product-detail/C7666.html","查看工程型号")</f>
        <v>查看工程型号</v>
      </c>
      <c r="J86" s="22" t="str">
        <v>SN74LVC1G08DBVR / SOT-23-5 与门，按同页对应型号选项购买。</v>
      </c>
      <c r="K86" s="22" t="str">
        <v>HAT-V5.epro2 / PCB2</v>
      </c>
      <c r="L86"/>
      <c r="M86"/>
    </row>
    <row r="87" ht="64" customHeight="1">
      <c r="A87" s="3" t="str">
        <v>U6</v>
      </c>
      <c r="B87" s="22" t="str">
        <v>SN74LVC1G125 / RX</v>
      </c>
      <c r="C87" s="22" t="str">
        <v>SN74LVC1G125DBVR-TP</v>
      </c>
      <c r="D87" s="3" t="str">
        <v>C3040625</v>
      </c>
      <c r="E87" s="22" t="str">
        <v>SOT-23-5</v>
      </c>
      <c r="F87" s="22" t="str">
        <v>输入类型:-；工作电压:1.65V~5.5V；元件数:1；每个元件位数:-；灌电流(IOL):24mA；拉电流(IOH):24mA</v>
      </c>
      <c r="G87" s="22" t="str">
        <v>SN74LVC1G125DBVR;5个全国包邮</v>
      </c>
      <c r="H87" s="21" t="str">
        <f>HYPERLINK("https://item.taobao.com/item.htm?id=902117985110","打开订单商品")</f>
        <v>打开订单商品</v>
      </c>
      <c r="I87" s="21" t="str">
        <f>HYPERLINK("https://item.szlcsc.com/3597950.html","查看工程型号")</f>
        <v>查看工程型号</v>
      </c>
      <c r="J87" s="22" t="str">
        <v>实际使用：SN74LVC1G125DBVR / SOT-23-5，5个包装。</v>
      </c>
      <c r="K87" s="22" t="str">
        <v>HAT-V5.epro2 / PCB2</v>
      </c>
      <c r="L87"/>
      <c r="M87"/>
    </row>
    <row r="88" ht="64" customHeight="1">
      <c r="A88" s="3" t="str">
        <v>U7</v>
      </c>
      <c r="B88" s="22" t="str">
        <v>SN74LVC1G126 / TX</v>
      </c>
      <c r="C88" s="22" t="str">
        <v>SN74LVC1G126DBVR</v>
      </c>
      <c r="D88" s="3" t="str">
        <v>C7834</v>
      </c>
      <c r="E88" s="22" t="str">
        <v>SOT-23-5</v>
      </c>
      <c r="F88" s="22" t="str">
        <v>输入类型:-；工作电压:1.65V~5.5V；元件数:1；每个元件位数:1；灌电流(IOL):32mA；拉电流(IOH):32mA</v>
      </c>
      <c r="G88" s="22" t="str">
        <v>SN74LVC1G126DBVR;5个全国包邮</v>
      </c>
      <c r="H88" s="21" t="str">
        <f>HYPERLINK("https://item.taobao.com/item.htm?id=902117985110","打开订单商品")</f>
        <v>打开订单商品</v>
      </c>
      <c r="I88" s="21" t="str">
        <f>HYPERLINK("https://www.lcsc.com/product-detail/C7834.html","查看工程型号")</f>
        <v>查看工程型号</v>
      </c>
      <c r="J88" s="22" t="str">
        <v>实际使用：SN74LVC1G126DBVR / SOT-23-5，5个包装。</v>
      </c>
      <c r="K88" s="22" t="str">
        <v>HAT-V5.epro2 / PCB2</v>
      </c>
      <c r="L88"/>
      <c r="M88"/>
    </row>
    <row r="89" ht="64" customHeight="1">
      <c r="A89" s="3" t="str">
        <v>U9</v>
      </c>
      <c r="B89" s="22" t="str">
        <v>AP63205 / 5V buck</v>
      </c>
      <c r="C89" s="22" t="str">
        <v>AP63205WU-7</v>
      </c>
      <c r="D89" s="3" t="str">
        <v>C2071056</v>
      </c>
      <c r="E89" s="22" t="str">
        <v>TSOT-23-6</v>
      </c>
      <c r="F89" s="22" t="str">
        <v>功能类型:降压型；工作电压:3.8V~32V；输出电压:5V；输出电流:2A；输出类型:固定</v>
      </c>
      <c r="G89" s="22" t="str">
        <v>AP63205WU-7</v>
      </c>
      <c r="H89" s="21" t="str">
        <f>HYPERLINK("https://item.taobao.com/item.htm?id=969642590399","打开订单商品")</f>
        <v>打开订单商品</v>
      </c>
      <c r="I89" s="21" t="str">
        <f>HYPERLINK("https://item.szlcsc.com/2162639.html","查看工程型号")</f>
        <v>查看工程型号</v>
      </c>
      <c r="J89" s="22" t="str">
        <v>AP63205WU-7，固定5V降压芯片，按对应完整型号购买。</v>
      </c>
      <c r="K89" s="22" t="str">
        <v>HAT-V5.epro2 / PCB2</v>
      </c>
      <c r="L89"/>
      <c r="M89"/>
    </row>
    <row r="90" ht="64" customHeight="1">
      <c r="A90" s="3" t="str">
        <v>U10</v>
      </c>
      <c r="B90" s="22" t="str">
        <v>LM5050-1</v>
      </c>
      <c r="C90" s="22" t="str">
        <v>LM5050MKX-1/NOPB</v>
      </c>
      <c r="D90" s="3" t="str">
        <v>C473393</v>
      </c>
      <c r="E90" s="22" t="str">
        <v>TSOT-23-6</v>
      </c>
      <c r="F90" s="22" t="str">
        <v>LM5050-1 5V 至 75V、400uA IQ ORing FET 控制器</v>
      </c>
      <c r="G90" s="22" t="str">
        <v>SOT-23;LM5050MKX-1/NOPB  原装正品</v>
      </c>
      <c r="H90" s="21" t="str">
        <f>HYPERLINK("https://item.taobao.com/item.htm?id=1013388982214","打开订单商品")</f>
        <v>打开订单商品</v>
      </c>
      <c r="I90" s="21" t="str">
        <f>HYPERLINK("https://www.lcsc.com/product-detail/C473393.html","查看工程型号")</f>
        <v>查看工程型号</v>
      </c>
      <c r="J90" s="22" t="str">
        <v>LM5050MKX-1/NOPB，按完整型号购买。</v>
      </c>
      <c r="K90" s="22" t="str">
        <v>HAT-V5.epro2 / PCB2</v>
      </c>
      <c r="L90"/>
      <c r="M90"/>
    </row>
    <row r="91" ht="64" customHeight="1">
      <c r="A91" s="3" t="str">
        <v>Y1</v>
      </c>
      <c r="B91" s="22" t="str">
        <v>12MHz</v>
      </c>
      <c r="C91" s="22" t="str">
        <v>OT3EL89CJI-111YLC-12M</v>
      </c>
      <c r="D91" s="3" t="str">
        <v>C7425459</v>
      </c>
      <c r="E91" s="22" t="str">
        <v>SMD2520-4P</v>
      </c>
      <c r="F91" s="22" t="str">
        <v>12MHz</v>
      </c>
      <c r="G91" s="22" t="str">
        <v>12MHZ 1.2V~3.36V宽压[高精度10PPM];SMD2520-4P CMOS输出</v>
      </c>
      <c r="H91" s="21" t="str">
        <f>HYPERLINK("https://item.taobao.com/item.htm?id=944053669860","打开订单商品")</f>
        <v>打开订单商品</v>
      </c>
      <c r="I91" s="21" t="str">
        <f>HYPERLINK("https://item.szlcsc.com/8414369.html","查看工程型号")</f>
        <v>查看工程型号</v>
      </c>
      <c r="J91" s="22" t="str">
        <v>实际使用：12MHz、2520-4P、CMOS输出有源晶振，宽压1.2V~3.36V（订单标称）。</v>
      </c>
      <c r="K91" s="22" t="str">
        <v>HAT-V5.epro2 / PCB2</v>
      </c>
      <c r="L91"/>
      <c r="M91"/>
    </row>
  </sheetData>
  <pageMargins left="0.7" right="0.7" top="0.75" bottom="0.75" header="0.3" footer="0.3"/>
  <tableParts count="1">
    <tablePart r:id="Rdff3ef36af1747b9"/>
  </tableParts>
</worksheet>
</file>

<file path=xl/worksheets/sheet3.xml><?xml version="1.0" encoding="utf-8"?>
<worksheet xmlns="http://schemas.openxmlformats.org/spreadsheetml/2006/main" xmlns:r="http://schemas.openxmlformats.org/officeDocument/2006/relationships">
  <sheetPr>
    <tabColor rgb="FF5C7393"/>
  </sheetPr>
  <sheetViews>
    <sheetView showGridLines="0" workbookViewId="0">
      <pane xSplit="2" ySplit="7" topLeftCell="C8" activePane="bottomRight" state="frozen"/>
    </sheetView>
  </sheetViews>
  <sheetFormatPr defaultRowHeight="15"/>
  <cols>
    <col min="1" max="1" width="9" hidden="0" customWidth="1"/>
    <col min="2" max="2" width="34" hidden="0" customWidth="1"/>
    <col min="3" max="3" width="35" hidden="0" customWidth="1"/>
    <col min="4" max="4" width="16" hidden="0" customWidth="1"/>
    <col min="5" max="5" width="24" hidden="0" customWidth="1"/>
    <col min="6" max="6" width="49" hidden="0" customWidth="1"/>
    <col min="7" max="7" width="48" hidden="0" customWidth="1"/>
    <col min="8" max="8" width="19" hidden="0" customWidth="1"/>
    <col min="9" max="9" width="20" hidden="0" customWidth="1"/>
    <col min="10" max="10" width="65" hidden="0" customWidth="1"/>
    <col min="11" max="11" width="32" hidden="0" customWidth="1"/>
    <col min="12" max="12" width="65" hidden="0" customWidth="1"/>
    <col min="13" max="13" width="32" hidden="0" customWidth="1"/>
  </cols>
  <sheetData>
    <row r="1" ht="24" customHeight="1">
      <c r="A1" s="3"/>
      <c r="B1" s="3"/>
      <c r="C1" s="3"/>
      <c r="D1" s="3"/>
      <c r="E1" s="3"/>
      <c r="F1" s="3"/>
      <c r="G1" s="3"/>
      <c r="H1" s="3"/>
      <c r="I1" s="3"/>
      <c r="J1" s="3"/>
      <c r="K1" s="3"/>
      <c r="L1"/>
      <c r="M1"/>
    </row>
    <row r="2" ht="30" customHeight="1">
      <c r="A2" s="5" t="str">
        <v>IMU 位号 BOM</v>
      </c>
      <c r="B2" s="6"/>
      <c r="C2" s="6"/>
      <c r="D2" s="6"/>
      <c r="E2" s="6"/>
      <c r="F2" s="6"/>
      <c r="G2" s="6"/>
      <c r="H2" s="6"/>
      <c r="I2" s="6"/>
      <c r="J2" s="6"/>
      <c r="K2" s="6"/>
      <c r="L2"/>
      <c r="M2"/>
    </row>
    <row r="3" ht="24" customHeight="1">
      <c r="A3" s="7" t="str">
        <v>源：IMU-TO-DLX-V2.epro2 / PCB1；25 个器件，工程原始属性保留。</v>
      </c>
      <c r="B3" s="3"/>
      <c r="C3" s="3"/>
      <c r="D3" s="3"/>
      <c r="E3" s="3"/>
      <c r="F3" s="3"/>
      <c r="G3" s="3"/>
      <c r="H3" s="3"/>
      <c r="I3" s="3"/>
      <c r="J3" s="3"/>
      <c r="K3" s="3"/>
      <c r="L3"/>
      <c r="M3"/>
    </row>
    <row r="4" ht="24" customHeight="1">
      <c r="A4" s="3" t="str">
        <v>实际采购款式见 G 列，原工程型号与参数保留备查。</v>
      </c>
      <c r="B4" s="3"/>
      <c r="C4" s="3"/>
      <c r="D4" s="3"/>
      <c r="E4" s="3"/>
      <c r="F4" s="3"/>
      <c r="G4" s="3"/>
      <c r="H4" s="3"/>
      <c r="I4" s="3"/>
      <c r="J4" s="3"/>
      <c r="K4" s="3"/>
      <c r="L4"/>
      <c r="M4"/>
    </row>
    <row r="5" ht="24" customHeight="1">
      <c r="A5" s="3" t="str">
        <v>D2 实际采购为0603蓝色LED，原工程器件记录保留。</v>
      </c>
      <c r="B5" s="3"/>
      <c r="C5" s="3"/>
      <c r="D5" s="3"/>
      <c r="E5" s="3"/>
      <c r="F5" s="3"/>
      <c r="G5" s="3"/>
      <c r="H5" s="3"/>
      <c r="I5" s="3"/>
      <c r="J5" s="3"/>
      <c r="K5" s="3"/>
      <c r="L5"/>
      <c r="M5"/>
    </row>
    <row r="6" ht="24" customHeight="1">
      <c r="A6" s="3" t="str">
        <v>器件用量按实际位号统计，采购商品已在作者实机验证可用。</v>
      </c>
      <c r="B6" s="3"/>
      <c r="C6" s="3"/>
      <c r="D6" s="3"/>
      <c r="E6" s="3"/>
      <c r="F6" s="3"/>
      <c r="G6" s="3"/>
      <c r="H6" s="3"/>
      <c r="I6" s="3"/>
      <c r="J6" s="3"/>
      <c r="K6" s="3"/>
      <c r="L6"/>
      <c r="M6"/>
    </row>
    <row r="7" ht="34" customHeight="1">
      <c r="A7" s="16" t="str">
        <v>位号</v>
      </c>
      <c r="B7" s="17" t="str">
        <v>用途 / 位号原文</v>
      </c>
      <c r="C7" s="17" t="str">
        <v>工程完整型号</v>
      </c>
      <c r="D7" s="17" t="str">
        <v>工程立创料号</v>
      </c>
      <c r="E7" s="17" t="str">
        <v>工程封装</v>
      </c>
      <c r="F7" s="17" t="str">
        <v>工程关键参数</v>
      </c>
      <c r="G7" s="17" t="str">
        <v>当前采购规格 / 订单款式</v>
      </c>
      <c r="H7" s="17" t="str">
        <v>订单商品链接</v>
      </c>
      <c r="I7" s="17" t="str">
        <v>工程BOM型号链接</v>
      </c>
      <c r="J7" s="17" t="str">
        <v>用料说明</v>
      </c>
      <c r="K7" s="18" t="str">
        <v>工程来源</v>
      </c>
      <c r="L7"/>
      <c r="M7"/>
    </row>
    <row r="8" ht="64" customHeight="1">
      <c r="A8" s="3" t="str">
        <v>C1</v>
      </c>
      <c r="B8" s="22" t="str">
        <v>4.7uF 25V</v>
      </c>
      <c r="C8" s="22" t="str">
        <v>CL21A475KAQNNNE</v>
      </c>
      <c r="D8" s="3" t="str">
        <v>C1779</v>
      </c>
      <c r="E8" s="22" t="str">
        <v>0805</v>
      </c>
      <c r="F8" s="22" t="str">
        <v>4.7uF / ±10% / 25V / X5R</v>
      </c>
      <c r="G8" s="22" t="str">
        <v>0805 4.7UF ±10% X7R;25V</v>
      </c>
      <c r="H8" s="21" t="str">
        <f>HYPERLINK("https://item.taobao.com/item.htm?id=977236759812","打开订单商品")</f>
        <v>打开订单商品</v>
      </c>
      <c r="I8" s="21" t="str">
        <f>HYPERLINK("https://www.lcsc.com/product-detail/C1779.html","查看工程型号")</f>
        <v>查看工程型号</v>
      </c>
      <c r="J8" s="22" t="str">
        <v>实际采购：0805 / 4.7uF / ±10% / 25V / X7R。</v>
      </c>
      <c r="K8" s="22" t="str">
        <v>IMU-TO-DLX-V2.epro2 / PCB1</v>
      </c>
      <c r="L8"/>
      <c r="M8"/>
    </row>
    <row r="9" ht="64" customHeight="1">
      <c r="A9" s="3" t="str">
        <v>C2</v>
      </c>
      <c r="B9" s="22" t="str">
        <v>100nF 50V</v>
      </c>
      <c r="C9" s="22" t="str">
        <v>CL10B104JB8NNNC</v>
      </c>
      <c r="D9" s="3" t="str">
        <v>C24452</v>
      </c>
      <c r="E9" s="22" t="str">
        <v>0603</v>
      </c>
      <c r="F9" s="22" t="str">
        <v>100nF / ±5% / 50V / X7R</v>
      </c>
      <c r="G9" s="22" t="str">
        <v>0603 100nF ±10% X7R;50V;100个</v>
      </c>
      <c r="H9" s="21" t="str">
        <f>HYPERLINK("https://item.taobao.com/item.htm?id=731471380840","打开订单商品")</f>
        <v>打开订单商品</v>
      </c>
      <c r="I9" s="21" t="str">
        <f>HYPERLINK("https://item.szlcsc.com/25192.html","查看工程型号")</f>
        <v>查看工程型号</v>
      </c>
      <c r="J9" s="22" t="str">
        <v>实际采购：0603 / 100nF / ±10% / 50V / X7R。</v>
      </c>
      <c r="K9" s="22" t="str">
        <v>IMU-TO-DLX-V2.epro2 / PCB1</v>
      </c>
      <c r="L9"/>
      <c r="M9"/>
    </row>
    <row r="10" ht="64" customHeight="1">
      <c r="A10" s="3" t="str">
        <v>C3</v>
      </c>
      <c r="B10" s="22" t="str">
        <v>4.7uF 25V</v>
      </c>
      <c r="C10" s="22" t="str">
        <v>CL21A475KAQNNNE</v>
      </c>
      <c r="D10" s="3" t="str">
        <v>C1779</v>
      </c>
      <c r="E10" s="22" t="str">
        <v>0805</v>
      </c>
      <c r="F10" s="22" t="str">
        <v>4.7uF / ±10% / 25V / X5R</v>
      </c>
      <c r="G10" s="22" t="str">
        <v>0805 4.7UF ±10% X7R;25V</v>
      </c>
      <c r="H10" s="21" t="str">
        <f>HYPERLINK("https://item.taobao.com/item.htm?id=977236759812","打开订单商品")</f>
        <v>打开订单商品</v>
      </c>
      <c r="I10" s="21" t="str">
        <f>HYPERLINK("https://www.lcsc.com/product-detail/C1779.html","查看工程型号")</f>
        <v>查看工程型号</v>
      </c>
      <c r="J10" s="22" t="str">
        <v>实际采购：0805 / 4.7uF / ±10% / 25V / X7R。</v>
      </c>
      <c r="K10" s="22" t="str">
        <v>IMU-TO-DLX-V2.epro2 / PCB1</v>
      </c>
      <c r="L10"/>
      <c r="M10"/>
    </row>
    <row r="11" ht="64" customHeight="1">
      <c r="A11" s="3" t="str">
        <v>C4</v>
      </c>
      <c r="B11" s="22" t="str">
        <v>100nF 50V</v>
      </c>
      <c r="C11" s="22" t="str">
        <v>CL10B104JB8NNNC</v>
      </c>
      <c r="D11" s="3" t="str">
        <v>C24452</v>
      </c>
      <c r="E11" s="22" t="str">
        <v>0603</v>
      </c>
      <c r="F11" s="22" t="str">
        <v>100nF / ±5% / 50V / X7R</v>
      </c>
      <c r="G11" s="22" t="str">
        <v>0603 100nF ±10% X7R;50V;100个</v>
      </c>
      <c r="H11" s="21" t="str">
        <f>HYPERLINK("https://item.taobao.com/item.htm?id=731471380840","打开订单商品")</f>
        <v>打开订单商品</v>
      </c>
      <c r="I11" s="21" t="str">
        <f>HYPERLINK("https://item.szlcsc.com/25192.html","查看工程型号")</f>
        <v>查看工程型号</v>
      </c>
      <c r="J11" s="22" t="str">
        <v>实际采购：0603 / 100nF / ±10% / 50V / X7R。</v>
      </c>
      <c r="K11" s="22" t="str">
        <v>IMU-TO-DLX-V2.epro2 / PCB1</v>
      </c>
      <c r="L11"/>
      <c r="M11"/>
    </row>
    <row r="12" ht="64" customHeight="1">
      <c r="A12" s="3" t="str">
        <v>C5</v>
      </c>
      <c r="B12" s="22" t="str">
        <v>100nF / MCU</v>
      </c>
      <c r="C12" s="22" t="str">
        <v>CL10B104JB8NNNC</v>
      </c>
      <c r="D12" s="3" t="str">
        <v>C24452</v>
      </c>
      <c r="E12" s="22" t="str">
        <v>0603</v>
      </c>
      <c r="F12" s="22" t="str">
        <v>100nF / ±5% / 50V / X7R</v>
      </c>
      <c r="G12" s="22" t="str">
        <v>0603 100nF ±10% X7R;50V;100个</v>
      </c>
      <c r="H12" s="21" t="str">
        <f>HYPERLINK("https://item.taobao.com/item.htm?id=731471380840","打开订单商品")</f>
        <v>打开订单商品</v>
      </c>
      <c r="I12" s="21" t="str">
        <f>HYPERLINK("https://item.szlcsc.com/25192.html","查看工程型号")</f>
        <v>查看工程型号</v>
      </c>
      <c r="J12" s="22" t="str">
        <v>实际采购：0603 / 100nF / ±10% / 50V / X7R。</v>
      </c>
      <c r="K12" s="22" t="str">
        <v>IMU-TO-DLX-V2.epro2 / PCB1</v>
      </c>
      <c r="L12"/>
      <c r="M12"/>
    </row>
    <row r="13" ht="64" customHeight="1">
      <c r="A13" s="3" t="str">
        <v>C6</v>
      </c>
      <c r="B13" s="22" t="str">
        <v>1uF / MCU</v>
      </c>
      <c r="C13" s="22" t="str">
        <v>CL10A105KB8NNNC</v>
      </c>
      <c r="D13" s="3" t="str">
        <v>C15849</v>
      </c>
      <c r="E13" s="22" t="str">
        <v>0603</v>
      </c>
      <c r="F13" s="22" t="str">
        <v>1uF / ±10% / 50V / X5R</v>
      </c>
      <c r="G13" s="22" t="str">
        <v>0603 1uF ±10% X7R;50V</v>
      </c>
      <c r="H13" s="21" t="str">
        <f>HYPERLINK("https://item.taobao.com/item.htm?id=630712731066","打开订单商品")</f>
        <v>打开订单商品</v>
      </c>
      <c r="I13" s="21" t="str">
        <f>HYPERLINK("https://item.szlcsc.com/16531.html","查看工程型号")</f>
        <v>查看工程型号</v>
      </c>
      <c r="J13" s="22" t="str">
        <v>实际采购：0603 / 1uF / ±10% / 50V / X7R。</v>
      </c>
      <c r="K13" s="22" t="str">
        <v>IMU-TO-DLX-V2.epro2 / PCB1</v>
      </c>
      <c r="L13"/>
      <c r="M13"/>
    </row>
    <row r="14" ht="64" customHeight="1">
      <c r="A14" s="3" t="str">
        <v>C7</v>
      </c>
      <c r="B14" s="22" t="str">
        <v>100nF / VDD_IO</v>
      </c>
      <c r="C14" s="22" t="str">
        <v>CL10B104JB8NNNC</v>
      </c>
      <c r="D14" s="3" t="str">
        <v>C24452</v>
      </c>
      <c r="E14" s="22" t="str">
        <v>0603</v>
      </c>
      <c r="F14" s="22" t="str">
        <v>100nF / ±5% / 50V / X7R</v>
      </c>
      <c r="G14" s="22" t="str">
        <v>0603 100nF ±10% X7R;50V;100个</v>
      </c>
      <c r="H14" s="21" t="str">
        <f>HYPERLINK("https://item.taobao.com/item.htm?id=731471380840","打开订单商品")</f>
        <v>打开订单商品</v>
      </c>
      <c r="I14" s="21" t="str">
        <f>HYPERLINK("https://item.szlcsc.com/25192.html","查看工程型号")</f>
        <v>查看工程型号</v>
      </c>
      <c r="J14" s="22" t="str">
        <v>实际采购：0603 / 100nF / ±10% / 50V / X7R。</v>
      </c>
      <c r="K14" s="22" t="str">
        <v>IMU-TO-DLX-V2.epro2 / PCB1</v>
      </c>
      <c r="L14"/>
      <c r="M14"/>
    </row>
    <row r="15" ht="64" customHeight="1">
      <c r="A15" s="3" t="str">
        <v>C8</v>
      </c>
      <c r="B15" s="22" t="str">
        <v>100nF / VDD</v>
      </c>
      <c r="C15" s="22" t="str">
        <v>CL10B104JB8NNNC</v>
      </c>
      <c r="D15" s="3" t="str">
        <v>C24452</v>
      </c>
      <c r="E15" s="22" t="str">
        <v>0603</v>
      </c>
      <c r="F15" s="22" t="str">
        <v>100nF / ±5% / 50V / X7R</v>
      </c>
      <c r="G15" s="22" t="str">
        <v>0603 100nF ±10% X7R;50V;100个</v>
      </c>
      <c r="H15" s="21" t="str">
        <f>HYPERLINK("https://item.taobao.com/item.htm?id=731471380840","打开订单商品")</f>
        <v>打开订单商品</v>
      </c>
      <c r="I15" s="21" t="str">
        <f>HYPERLINK("https://item.szlcsc.com/25192.html","查看工程型号")</f>
        <v>查看工程型号</v>
      </c>
      <c r="J15" s="22" t="str">
        <v>实际采购：0603 / 100nF / ±10% / 50V / X7R。</v>
      </c>
      <c r="K15" s="22" t="str">
        <v>IMU-TO-DLX-V2.epro2 / PCB1</v>
      </c>
      <c r="L15"/>
      <c r="M15"/>
    </row>
    <row r="16" ht="64" customHeight="1">
      <c r="A16" s="3" t="str">
        <v>C9</v>
      </c>
      <c r="B16" s="22" t="str">
        <v>1uF / IMU local</v>
      </c>
      <c r="C16" s="22" t="str">
        <v>CL10A105KB8NNNC</v>
      </c>
      <c r="D16" s="3" t="str">
        <v>C15849</v>
      </c>
      <c r="E16" s="22" t="str">
        <v>0603</v>
      </c>
      <c r="F16" s="22" t="str">
        <v>1uF / ±10% / 50V / X5R</v>
      </c>
      <c r="G16" s="22" t="str">
        <v>0603 1uF ±10% X7R;50V</v>
      </c>
      <c r="H16" s="21" t="str">
        <f>HYPERLINK("https://item.taobao.com/item.htm?id=630712731066","打开订单商品")</f>
        <v>打开订单商品</v>
      </c>
      <c r="I16" s="21" t="str">
        <f>HYPERLINK("https://item.szlcsc.com/16531.html","查看工程型号")</f>
        <v>查看工程型号</v>
      </c>
      <c r="J16" s="22" t="str">
        <v>实际采购：0603 / 1uF / ±10% / 50V / X7R。</v>
      </c>
      <c r="K16" s="22" t="str">
        <v>IMU-TO-DLX-V2.epro2 / PCB1</v>
      </c>
      <c r="L16"/>
      <c r="M16"/>
    </row>
    <row r="17" ht="64" customHeight="1">
      <c r="A17" s="3" t="str">
        <v>C10</v>
      </c>
      <c r="B17" s="22" t="str">
        <v>100nF / buffer</v>
      </c>
      <c r="C17" s="22" t="str">
        <v>CL10B104JB8NNNC</v>
      </c>
      <c r="D17" s="3" t="str">
        <v>C24452</v>
      </c>
      <c r="E17" s="22" t="str">
        <v>0603</v>
      </c>
      <c r="F17" s="22" t="str">
        <v>100nF / ±5% / 50V / X7R</v>
      </c>
      <c r="G17" s="22" t="str">
        <v>0603 100nF ±10% X7R;50V;100个</v>
      </c>
      <c r="H17" s="21" t="str">
        <f>HYPERLINK("https://item.taobao.com/item.htm?id=731471380840","打开订单商品")</f>
        <v>打开订单商品</v>
      </c>
      <c r="I17" s="21" t="str">
        <f>HYPERLINK("https://item.szlcsc.com/25192.html","查看工程型号")</f>
        <v>查看工程型号</v>
      </c>
      <c r="J17" s="22" t="str">
        <v>实际采购：0603 / 100nF / ±10% / 50V / X7R。</v>
      </c>
      <c r="K17" s="22" t="str">
        <v>IMU-TO-DLX-V2.epro2 / PCB1</v>
      </c>
      <c r="L17"/>
      <c r="M17"/>
    </row>
    <row r="18" ht="64" customHeight="1">
      <c r="A18" s="3" t="str">
        <v>D1</v>
      </c>
      <c r="B18" s="22" t="str">
        <v>PESD5V0S1BA / 5V bidirectional</v>
      </c>
      <c r="C18" s="22" t="str">
        <v>PESD5V0S1BA</v>
      </c>
      <c r="D18" s="3" t="str">
        <v>C330094</v>
      </c>
      <c r="E18" s="22" t="str">
        <v>SOD-323</v>
      </c>
      <c r="F18" s="22" t="str">
        <v>反向截止电压(Vrwm):5V@Max；最大钳位电压:10V；峰值脉冲电流(Ipp)@10/1000us:5A@8/20us；击穿电压:5.8V</v>
      </c>
      <c r="G18" s="22" t="str">
        <v>商品无选项，按商品标题完整型号购买</v>
      </c>
      <c r="H18" s="21" t="str">
        <f>HYPERLINK("https://item.taobao.com/item.htm?id=891785167202","打开订单商品")</f>
        <v>打开订单商品</v>
      </c>
      <c r="I18" s="21" t="str">
        <f>HYPERLINK("https://www.lcsc.com/product-detail/C330094.html","查看工程型号")</f>
        <v>查看工程型号</v>
      </c>
      <c r="J18" s="22" t="str">
        <v>PESD5V0S1BA / SOD-323 双向TVS，按商品完整型号购买。</v>
      </c>
      <c r="K18" s="22" t="str">
        <v>IMU-TO-DLX-V2.epro2 / PCB1</v>
      </c>
      <c r="L18"/>
      <c r="M18"/>
    </row>
    <row r="19" ht="64" customHeight="1">
      <c r="A19" s="3" t="str">
        <v>D2</v>
      </c>
      <c r="B19" s="22" t="str">
        <v>DEBUG LED</v>
      </c>
      <c r="C19" s="22" t="str">
        <v>19-217/GHC-YR1S2/3T</v>
      </c>
      <c r="D19" s="3" t="str">
        <v>C72043</v>
      </c>
      <c r="E19" s="22" t="str">
        <v>0603</v>
      </c>
      <c r="F19" s="22" t="str">
        <v>110mW</v>
      </c>
      <c r="G19" s="22" t="str">
        <v>0603 蓝色=100个</v>
      </c>
      <c r="H19" s="21" t="str">
        <f>HYPERLINK("https://item.taobao.com/item.htm?id=1025817117811","打开订单商品")</f>
        <v>打开订单商品</v>
      </c>
      <c r="I19" s="21" t="str">
        <f>HYPERLINK("https://www.lcsc.com/product-detail/Light-Emitting-Diodes-LED_Everlight-Elec-19-217-GHC-YR1S2-3T_C72043.html","查看工程型号")</f>
        <v>查看工程型号</v>
      </c>
      <c r="J19" s="22" t="str">
        <v>实际采购：0603 蓝色LED，100个包装。</v>
      </c>
      <c r="K19" s="22" t="str">
        <v>IMU-TO-DLX-V2.epro2 / PCB1</v>
      </c>
      <c r="L19"/>
      <c r="M19"/>
    </row>
    <row r="20" ht="64" customHeight="1">
      <c r="A20" s="3" t="str">
        <v>J1</v>
      </c>
      <c r="B20" s="22" t="str">
        <v>DXL BUS / JST EH 3P</v>
      </c>
      <c r="C20" s="22" t="str">
        <v>B3B-EH-A(LF)(SN)</v>
      </c>
      <c r="D20" s="3" t="str">
        <v>C160259</v>
      </c>
      <c r="E20" s="22" t="str">
        <v>插件,P=2.5mm</v>
      </c>
      <c r="F20" s="22" t="str">
        <v>250V / 3A</v>
      </c>
      <c r="G20" s="22" t="str">
        <v>EH2.5MM 3P直针座（50个）</v>
      </c>
      <c r="H20" s="21" t="str">
        <f>HYPERLINK("https://item.taobao.com/item.htm?id=832569969546","打开订单商品")</f>
        <v>打开订单商品</v>
      </c>
      <c r="I20" s="21" t="str">
        <f>HYPERLINK("https://item.szlcsc.com/171639.html","查看工程型号")</f>
        <v>查看工程型号</v>
      </c>
      <c r="J20" s="22" t="str">
        <v>EH 3P 直针座，HAT 两只、IMU 一只。</v>
      </c>
      <c r="K20" s="22" t="str">
        <v>IMU-TO-DLX-V2.epro2 / PCB1</v>
      </c>
      <c r="L20"/>
      <c r="M20"/>
    </row>
    <row r="21" ht="64" customHeight="1">
      <c r="A21" s="3" t="str">
        <v>J2</v>
      </c>
      <c r="B21" s="22" t="str">
        <v>SWD 1x5</v>
      </c>
      <c r="C21" s="22" t="str">
        <v>PZ254V-11-05P</v>
      </c>
      <c r="D21" s="3" t="str">
        <v>C492404</v>
      </c>
      <c r="E21" s="22" t="str">
        <v>插件,P=2.54mm</v>
      </c>
      <c r="F21" s="22" t="str">
        <v>3A</v>
      </c>
      <c r="G21" s="22" t="str">
        <v>1*5P直针 铜（30条）</v>
      </c>
      <c r="H21" s="21" t="str">
        <f>HYPERLINK("https://item.taobao.com/item.htm?id=606816197525","打开订单商品")</f>
        <v>打开订单商品</v>
      </c>
      <c r="I21" s="21" t="str">
        <f>HYPERLINK("https://item.szlcsc.com/502960.html","查看工程型号")</f>
        <v>查看工程型号</v>
      </c>
      <c r="J21" s="22" t="str">
        <v>1×5P / 2.54mm 直排针，用于SWD烧录口。</v>
      </c>
      <c r="K21" s="22" t="str">
        <v>IMU-TO-DLX-V2.epro2 / PCB1</v>
      </c>
      <c r="L21"/>
      <c r="M21"/>
    </row>
    <row r="22" ht="64" customHeight="1">
      <c r="A22" s="3" t="str">
        <v>R1</v>
      </c>
      <c r="B22" s="22" t="str">
        <v>0R / DXL_VDD link</v>
      </c>
      <c r="C22" s="22" t="str">
        <v>0603WAF0000T5E</v>
      </c>
      <c r="D22" s="3" t="str">
        <v>C21189</v>
      </c>
      <c r="E22" s="22" t="str">
        <v>0603</v>
      </c>
      <c r="F22" s="22" t="str">
        <v>0Ω / ±1% / - / 100mW</v>
      </c>
      <c r="G22" s="22" t="str">
        <v>0R/0欧;0603 1%（100个）</v>
      </c>
      <c r="H22" s="21" t="str">
        <f>HYPERLINK("https://item.taobao.com/item.htm?id=947267344247","打开订单商品")</f>
        <v>打开订单商品</v>
      </c>
      <c r="I22" s="21" t="str">
        <f>HYPERLINK("https://item.szlcsc.com/21903.html","查看工程型号")</f>
        <v>查看工程型号</v>
      </c>
      <c r="J22" s="22" t="str">
        <v>0Ω / 0603；HAT R33 按后续 0Ω / C21189 补丁计入。</v>
      </c>
      <c r="K22" s="22" t="str">
        <v>IMU-TO-DLX-V2.epro2 / PCB1</v>
      </c>
      <c r="L22"/>
      <c r="M22"/>
    </row>
    <row r="23" ht="64" customHeight="1">
      <c r="A23" s="3" t="str">
        <v>R2</v>
      </c>
      <c r="B23" s="22" t="str">
        <v>10k / NRST pull-up</v>
      </c>
      <c r="C23" s="22" t="str">
        <v>RC0603FR-0710KL</v>
      </c>
      <c r="D23" s="3" t="str">
        <v>C98220</v>
      </c>
      <c r="E23" s="22" t="str">
        <v>0603</v>
      </c>
      <c r="F23" s="22" t="str">
        <v>10kΩ / ±1% / ±100ppm/℃ / 100mW</v>
      </c>
      <c r="G23" s="22" t="str">
        <v>10K;0603 1%（100个）</v>
      </c>
      <c r="H23" s="21" t="str">
        <f>HYPERLINK("https://item.taobao.com/item.htm?id=947267344247","打开订单商品")</f>
        <v>打开订单商品</v>
      </c>
      <c r="I23" s="21" t="str">
        <f>HYPERLINK("https://item.szlcsc.com/99429.html","查看工程型号")</f>
        <v>查看工程型号</v>
      </c>
      <c r="J23" s="22" t="str">
        <v>10kΩ / ±1% / 0603；HAT 十二只、IMU 三只。</v>
      </c>
      <c r="K23" s="22" t="str">
        <v>IMU-TO-DLX-V2.epro2 / PCB1</v>
      </c>
      <c r="L23"/>
      <c r="M23"/>
    </row>
    <row r="24" ht="64" customHeight="1">
      <c r="A24" s="3" t="str">
        <v>R3</v>
      </c>
      <c r="B24" s="22" t="str">
        <v>100k / BOOT0 pull-down</v>
      </c>
      <c r="C24" s="22" t="str">
        <v>RC0603FR-07100KL</v>
      </c>
      <c r="D24" s="3" t="str">
        <v>C14675</v>
      </c>
      <c r="E24" s="22" t="str">
        <v>0603</v>
      </c>
      <c r="F24" s="22" t="str">
        <v>100kΩ / ±1% / ±100ppm/℃ / 100mW</v>
      </c>
      <c r="G24" s="22" t="str">
        <v>100K;0603 1%（100个）</v>
      </c>
      <c r="H24" s="21" t="str">
        <f>HYPERLINK("https://item.taobao.com/item.htm?id=947267344247","打开订单商品")</f>
        <v>打开订单商品</v>
      </c>
      <c r="I24" s="21" t="str">
        <f>HYPERLINK("https://item.szlcsc.com/15343.html","查看工程型号")</f>
        <v>查看工程型号</v>
      </c>
      <c r="J24" s="22" t="str">
        <v>100kΩ / ±1% / 0603。</v>
      </c>
      <c r="K24" s="22" t="str">
        <v>IMU-TO-DLX-V2.epro2 / PCB1</v>
      </c>
      <c r="L24"/>
      <c r="M24"/>
    </row>
    <row r="25" ht="64" customHeight="1">
      <c r="A25" s="3" t="str">
        <v>R4</v>
      </c>
      <c r="B25" s="22" t="str">
        <v>10k / IMU CS pull-up</v>
      </c>
      <c r="C25" s="22" t="str">
        <v>RC0603FR-0710KL</v>
      </c>
      <c r="D25" s="3" t="str">
        <v>C98220</v>
      </c>
      <c r="E25" s="22" t="str">
        <v>0603</v>
      </c>
      <c r="F25" s="22" t="str">
        <v>10kΩ / ±1% / ±100ppm/℃ / 100mW</v>
      </c>
      <c r="G25" s="22" t="str">
        <v>10K;0603 1%（100个）</v>
      </c>
      <c r="H25" s="21" t="str">
        <f>HYPERLINK("https://item.taobao.com/item.htm?id=947267344247","打开订单商品")</f>
        <v>打开订单商品</v>
      </c>
      <c r="I25" s="21" t="str">
        <f>HYPERLINK("https://item.szlcsc.com/99429.html","查看工程型号")</f>
        <v>查看工程型号</v>
      </c>
      <c r="J25" s="22" t="str">
        <v>10kΩ / ±1% / 0603；HAT 十二只、IMU 三只。</v>
      </c>
      <c r="K25" s="22" t="str">
        <v>IMU-TO-DLX-V2.epro2 / PCB1</v>
      </c>
      <c r="L25"/>
      <c r="M25"/>
    </row>
    <row r="26" ht="64" customHeight="1">
      <c r="A26" s="3" t="str">
        <v>R5</v>
      </c>
      <c r="B26" s="22" t="str">
        <v>10k / TX disable pull-up</v>
      </c>
      <c r="C26" s="22" t="str">
        <v>RC0603FR-0710KL</v>
      </c>
      <c r="D26" s="3" t="str">
        <v>C98220</v>
      </c>
      <c r="E26" s="22" t="str">
        <v>0603</v>
      </c>
      <c r="F26" s="22" t="str">
        <v>10kΩ / ±1% / ±100ppm/℃ / 100mW</v>
      </c>
      <c r="G26" s="22" t="str">
        <v>10K;0603 1%（100个）</v>
      </c>
      <c r="H26" s="21" t="str">
        <f>HYPERLINK("https://item.taobao.com/item.htm?id=947267344247","打开订单商品")</f>
        <v>打开订单商品</v>
      </c>
      <c r="I26" s="21" t="str">
        <f>HYPERLINK("https://item.szlcsc.com/99429.html","查看工程型号")</f>
        <v>查看工程型号</v>
      </c>
      <c r="J26" s="22" t="str">
        <v>10kΩ / ±1% / 0603；HAT 十二只、IMU 三只。</v>
      </c>
      <c r="K26" s="22" t="str">
        <v>IMU-TO-DLX-V2.epro2 / PCB1</v>
      </c>
      <c r="L26"/>
      <c r="M26"/>
    </row>
    <row r="27" ht="64" customHeight="1">
      <c r="A27" s="3" t="str">
        <v>R6</v>
      </c>
      <c r="B27" s="22" t="str">
        <v>33R / DXL TX series</v>
      </c>
      <c r="C27" s="22" t="str">
        <v>0603WAF330JT5E</v>
      </c>
      <c r="D27" s="3" t="str">
        <v>C23140</v>
      </c>
      <c r="E27" s="22" t="str">
        <v>0603</v>
      </c>
      <c r="F27" s="22" t="str">
        <v>33Ω / ±1% / ±100ppm/℃ / 100mW</v>
      </c>
      <c r="G27" s="22" t="str">
        <v>33R/33欧;0603 1%（100个）</v>
      </c>
      <c r="H27" s="21" t="str">
        <f>HYPERLINK("https://item.taobao.com/item.htm?id=947267344247","打开订单商品")</f>
        <v>打开订单商品</v>
      </c>
      <c r="I27" s="21" t="str">
        <f>HYPERLINK("https://item.szlcsc.com/23867.html","查看工程型号")</f>
        <v>查看工程型号</v>
      </c>
      <c r="J27" s="22" t="str">
        <v>33Ω / ±1% / 0603，用于IMU R6。</v>
      </c>
      <c r="K27" s="22" t="str">
        <v>IMU-TO-DLX-V2.epro2 / PCB1</v>
      </c>
      <c r="L27"/>
      <c r="M27"/>
    </row>
    <row r="28" ht="64" customHeight="1">
      <c r="A28" s="3" t="str">
        <v>R7</v>
      </c>
      <c r="B28" s="22" t="str">
        <v>1k / debug LED</v>
      </c>
      <c r="C28" s="22" t="str">
        <v>0603WAF1001T5E</v>
      </c>
      <c r="D28" s="3" t="str">
        <v>C21190</v>
      </c>
      <c r="E28" s="22" t="str">
        <v>0603</v>
      </c>
      <c r="F28" s="22" t="str">
        <v>1kΩ / ±1% / ±100ppm/℃ / 100mW</v>
      </c>
      <c r="G28" s="22" t="str">
        <v>1K;0603 1%（100个）</v>
      </c>
      <c r="H28" s="21" t="str">
        <f>HYPERLINK("https://item.taobao.com/item.htm?id=947267344247","打开订单商品")</f>
        <v>打开订单商品</v>
      </c>
      <c r="I28" s="21" t="str">
        <f>HYPERLINK("https://item.szlcsc.com/21904.html","查看工程型号")</f>
        <v>查看工程型号</v>
      </c>
      <c r="J28" s="22" t="str">
        <v>1kΩ / ±1% / 0603，八月备料订单。</v>
      </c>
      <c r="K28" s="22" t="str">
        <v>IMU-TO-DLX-V2.epro2 / PCB1</v>
      </c>
      <c r="L28"/>
      <c r="M28"/>
    </row>
    <row r="29" ht="64" customHeight="1">
      <c r="A29" s="3" t="str">
        <v>U1</v>
      </c>
      <c r="B29" s="22" t="str">
        <v>STM32G031F8P6</v>
      </c>
      <c r="C29" s="22" t="str">
        <v>STM32G031F8P6</v>
      </c>
      <c r="D29" s="3" t="str">
        <v>C529334</v>
      </c>
      <c r="E29" s="22" t="str">
        <v>TSSOP-20</v>
      </c>
      <c r="F29" s="22" t="str">
        <v>CPU内核:ARM Cortex-M0+；CPU最大主频:64MHz；CPU位数:32 Bit</v>
      </c>
      <c r="G29" s="22" t="str">
        <v>全新原装</v>
      </c>
      <c r="H29" s="21" t="str">
        <f>HYPERLINK("https://item.taobao.com/item.htm?id=726808419708","打开订单商品")</f>
        <v>打开订单商品</v>
      </c>
      <c r="I29" s="21" t="str">
        <f>HYPERLINK("https://item.szlcsc.com/549612.html","查看工程型号")</f>
        <v>查看工程型号</v>
      </c>
      <c r="J29" s="22" t="str">
        <v>STM32G031F8P6 / TSSOP-20，按商品完整型号购买。</v>
      </c>
      <c r="K29" s="22" t="str">
        <v>IMU-TO-DLX-V2.epro2 / PCB1</v>
      </c>
      <c r="L29"/>
      <c r="M29"/>
    </row>
    <row r="30" ht="64" customHeight="1">
      <c r="A30" s="3" t="str">
        <v>U2</v>
      </c>
      <c r="B30" s="22" t="str">
        <v>LSM6DSV16XTR</v>
      </c>
      <c r="C30" s="22" t="str">
        <v>LSM6DSV16XTR</v>
      </c>
      <c r="D30" s="3" t="str">
        <v>C5267406</v>
      </c>
      <c r="E30" s="22" t="str">
        <v>LGA-14(2.5x3)</v>
      </c>
      <c r="F30" s="22" t="str">
        <v>传感器类型:IMU(加速度计+陀螺仪)；接口类型:I2C；SPI</v>
      </c>
      <c r="G30" s="22" t="str">
        <v>LSM6DSV16XTR</v>
      </c>
      <c r="H30" s="21" t="str">
        <f>HYPERLINK("https://item.taobao.com/item.htm?id=640391703111","打开订单商品")</f>
        <v>打开订单商品</v>
      </c>
      <c r="I30" s="21" t="str">
        <f>HYPERLINK("https://item.szlcsc.com/5993815.html","查看工程型号")</f>
        <v>查看工程型号</v>
      </c>
      <c r="J30" s="22" t="str">
        <v>LSM6DSV16XTR / LGA-14，在多型号商品页选择 LSM6DSV16XTR。</v>
      </c>
      <c r="K30" s="22" t="str">
        <v>IMU-TO-DLX-V2.epro2 / PCB1</v>
      </c>
      <c r="L30"/>
      <c r="M30"/>
    </row>
    <row r="31" ht="64" customHeight="1">
      <c r="A31" s="3" t="str">
        <v>U3</v>
      </c>
      <c r="B31" s="22" t="str">
        <v>TLV70433DBVR</v>
      </c>
      <c r="C31" s="22" t="str">
        <v>TLV70433DBVR</v>
      </c>
      <c r="D31" s="3" t="str">
        <v>C94917</v>
      </c>
      <c r="E31" s="22" t="str">
        <v>SOT-23-5</v>
      </c>
      <c r="F31" s="22" t="str">
        <v>输出极性:正极；工作电压:24V；输出电压:3.3V；输出电流:150mA；电源纹波抑制比(PSRR):60dB@(100kHz)；输出类型:固定</v>
      </c>
      <c r="G31" s="22" t="str">
        <v>TLV70433DBVR</v>
      </c>
      <c r="H31" s="21" t="str">
        <f>HYPERLINK("https://item.taobao.com/item.htm?id=747094785928","打开订单商品")</f>
        <v>打开订单商品</v>
      </c>
      <c r="I31" s="21" t="str">
        <f>HYPERLINK("https://www.lcsc.com/product-detail/C94917.html","查看工程型号")</f>
        <v>查看工程型号</v>
      </c>
      <c r="J31" s="22" t="str">
        <v>TLV70433DBVR / 3.3V / SOT-23-5。</v>
      </c>
      <c r="K31" s="22" t="str">
        <v>IMU-TO-DLX-V2.epro2 / PCB1</v>
      </c>
      <c r="L31"/>
      <c r="M31"/>
    </row>
    <row r="32" ht="64" customHeight="1">
      <c r="A32" s="3" t="str">
        <v>U4</v>
      </c>
      <c r="B32" s="22" t="str">
        <v>SN74LVC2G125DCUR</v>
      </c>
      <c r="C32" s="22" t="str">
        <v>SN74LVC2G125DCUR</v>
      </c>
      <c r="D32" s="3" t="str">
        <v>C21404</v>
      </c>
      <c r="E32" s="22" t="str">
        <v>VSSOP-8</v>
      </c>
      <c r="F32" s="22" t="str">
        <v>输入类型:-；工作电压:1.65V~5.5V；元件数:2；每个元件位数:1；灌电流(IOL):32mA；拉电流(IOH):32mA</v>
      </c>
      <c r="G32" s="22" t="str">
        <v>商品无选项，按商品标题完整型号购买</v>
      </c>
      <c r="H32" s="21" t="str">
        <f>HYPERLINK("https://item.taobao.com/item.htm?id=705642638300","打开订单商品")</f>
        <v>打开订单商品</v>
      </c>
      <c r="I32" s="21" t="str">
        <f>HYPERLINK("https://www.lcsc.com/product-detail/C21404.html","查看工程型号")</f>
        <v>查看工程型号</v>
      </c>
      <c r="J32" s="22" t="str">
        <v>SN74LVC2G125DCUR / VSSOP-8，按商品完整型号购买。</v>
      </c>
      <c r="K32" s="22" t="str">
        <v>IMU-TO-DLX-V2.epro2 / PCB1</v>
      </c>
      <c r="L32"/>
      <c r="M32"/>
    </row>
  </sheetData>
  <pageMargins left="0.7" right="0.7" top="0.75" bottom="0.75" header="0.3" footer="0.3"/>
  <tableParts count="1">
    <tablePart r:id="Rbd944e1ea8264e94"/>
  </tableParts>
</worksheet>
</file>

<file path=xl/worksheets/sheet4.xml><?xml version="1.0" encoding="utf-8"?>
<worksheet xmlns="http://schemas.openxmlformats.org/spreadsheetml/2006/main" xmlns:r="http://schemas.openxmlformats.org/officeDocument/2006/relationships">
  <sheetViews>
    <sheetView showGridLines="0" workbookViewId="0">
      <pane xSplit="2" ySplit="6" topLeftCell="C7" activePane="bottomRight" state="frozen"/>
    </sheetView>
  </sheetViews>
  <sheetFormatPr defaultRowHeight="15"/>
  <cols>
    <col min="1" max="1" width="15" hidden="0" customWidth="1"/>
    <col min="2" max="2" width="30" hidden="0" customWidth="1"/>
    <col min="3" max="3" width="51" hidden="0" customWidth="1"/>
    <col min="4" max="4" width="30" hidden="0" customWidth="1"/>
    <col min="5" max="5" width="28" hidden="0" customWidth="1"/>
    <col min="6" max="6" width="20" hidden="0" customWidth="1"/>
    <col min="7" max="7" width="55" hidden="0" customWidth="1"/>
    <col min="8" max="8" width="14" hidden="0" customWidth="1"/>
    <col min="9" max="9" width="66" hidden="0" customWidth="1"/>
    <col min="10" max="10" width="12" hidden="0" customWidth="1"/>
    <col min="11" max="11" width="12" hidden="0" customWidth="1"/>
  </cols>
  <sheetData>
    <row r="1" ht="24" customHeight="1">
      <c r="A1" s="3"/>
      <c r="B1" s="3"/>
      <c r="C1" s="3"/>
      <c r="D1" s="3"/>
      <c r="E1" s="3"/>
      <c r="F1" s="3"/>
      <c r="G1" s="3"/>
      <c r="H1" s="3"/>
      <c r="I1" s="3"/>
      <c r="J1" s="3"/>
      <c r="K1"/>
    </row>
    <row r="2" ht="30" customHeight="1">
      <c r="A2" s="5" t="str">
        <v>配套接插件、外接模块与制作用品</v>
      </c>
      <c r="B2" s="6"/>
      <c r="C2" s="6"/>
      <c r="D2" s="6"/>
      <c r="E2" s="6"/>
      <c r="F2" s="6"/>
      <c r="G2" s="6"/>
      <c r="H2" s="6"/>
      <c r="I2" s="6"/>
      <c r="J2" s="6"/>
      <c r="K2"/>
    </row>
    <row r="3" ht="24" customHeight="1">
      <c r="A3" s="7" t="str">
        <v>按功能需求选用；与 PCB 上的器件用量分开统计。</v>
      </c>
      <c r="B3" s="3"/>
      <c r="C3" s="3"/>
      <c r="D3" s="3"/>
      <c r="E3" s="3"/>
      <c r="F3" s="3"/>
      <c r="G3" s="3"/>
      <c r="H3" s="3"/>
      <c r="I3" s="3"/>
      <c r="J3" s="3"/>
      <c r="K3"/>
    </row>
    <row r="4" ht="24" customHeight="1">
      <c r="A4" s="3" t="str">
        <v>EH 母壳与压接端子需成套。扬声器订单的 1.25 插头与 HAT EH 板座不同。</v>
      </c>
      <c r="B4" s="3"/>
      <c r="C4" s="3"/>
      <c r="D4" s="3"/>
      <c r="E4" s="3"/>
      <c r="F4" s="3"/>
      <c r="G4" s="3"/>
      <c r="H4" s="3"/>
      <c r="I4" s="3"/>
      <c r="J4" s="3"/>
      <c r="K4"/>
    </row>
    <row r="5" ht="24" customHeight="1">
      <c r="A5" s="3" t="str">
        <v>裸板和钢网为定制入口，需提供对应工程生产文件；已有工具可以省去重复购买。</v>
      </c>
      <c r="B5" s="3"/>
      <c r="C5" s="3"/>
      <c r="D5" s="3"/>
      <c r="E5" s="3"/>
      <c r="F5" s="3"/>
      <c r="G5" s="3"/>
      <c r="H5" s="3"/>
      <c r="I5" s="3"/>
      <c r="J5" s="3"/>
      <c r="K5"/>
    </row>
    <row r="6" ht="34" customHeight="1">
      <c r="A6" s="17" t="str">
        <v>类别</v>
      </c>
      <c r="B6" s="17" t="str">
        <v>商品 / 用品</v>
      </c>
      <c r="C6" s="17" t="str">
        <v>具体规格</v>
      </c>
      <c r="D6" s="17" t="str">
        <v>用量或购买条件</v>
      </c>
      <c r="E6" s="17" t="str">
        <v>订单店铺</v>
      </c>
      <c r="F6" s="17" t="str">
        <v>商品链接</v>
      </c>
      <c r="G6" s="17" t="str">
        <v>订单原款式</v>
      </c>
      <c r="H6" s="17" t="str">
        <v>每拍含量</v>
      </c>
      <c r="I6" s="17" t="str">
        <v>购买说明</v>
      </c>
      <c r="J6" s="18" t="str">
        <v>订单源行</v>
      </c>
      <c r="K6"/>
    </row>
    <row r="7" ht="60" customHeight="1">
      <c r="A7" s="22" t="str">
        <v>定制PCB</v>
      </c>
      <c r="B7" s="22" t="str">
        <v>HAT 裸板</v>
      </c>
      <c r="C7" s="22" t="str">
        <v>HAT-V5，65×30.9mm，两层板；按对应工程生成生产资料</v>
      </c>
      <c r="D7" s="22" t="str">
        <v>按打样订单确认</v>
      </c>
      <c r="E7" s="22" t="str">
        <v>PCB打样平台</v>
      </c>
      <c r="F7" s="21" t="str">
        <f>HYPERLINK("https://www.jlc.com/","定制打样入口")</f>
        <v>定制打样入口</v>
      </c>
      <c r="G7" s="22" t="str">
        <v>定制打样入口，不是现成商品</v>
      </c>
      <c r="H7" s="3"/>
      <c r="I7" s="22" t="str">
        <v>裸板需定制；当前 R33/TH1 用料变化在位号表中注明，不能拿官方多层 HAT 的 BOM 混买。</v>
      </c>
      <c r="J7" s="22" t="str">
        <v>未在淘宝订单中记录</v>
      </c>
      <c r="K7"/>
    </row>
    <row r="8" ht="60" customHeight="1">
      <c r="A8" s="22" t="str">
        <v>定制PCB</v>
      </c>
      <c r="B8" s="22" t="str">
        <v>IMU 裸板</v>
      </c>
      <c r="C8" s="22" t="str">
        <v>IMU-TO-DLX-V2；按对应工程生成生产资料</v>
      </c>
      <c r="D8" s="22" t="str">
        <v>按打样订单确认</v>
      </c>
      <c r="E8" s="22" t="str">
        <v>PCB打样平台</v>
      </c>
      <c r="F8" s="21" t="str">
        <f>HYPERLINK("https://www.jlc.com/","定制打样入口")</f>
        <v>定制打样入口</v>
      </c>
      <c r="G8" s="22" t="str">
        <v>定制打样入口，不是现成商品</v>
      </c>
      <c r="H8" s="3"/>
      <c r="I8" s="22" t="str">
        <v>使用对应 IMU 工程，裸板不是可直接购买的标准模块。</v>
      </c>
      <c r="J8" s="22" t="str">
        <v>未在淘宝订单中记录</v>
      </c>
      <c r="K8"/>
    </row>
    <row r="9" ht="60" customHeight="1">
      <c r="A9" s="22" t="str">
        <v>配套接插件</v>
      </c>
      <c r="B9" s="22" t="str">
        <v>EH 2P 母壳</v>
      </c>
      <c r="C9" s="22" t="str">
        <v>EH 2P，配 HAT J1/J2/J9</v>
      </c>
      <c r="D9" s="22" t="str">
        <v>按实际接线；最多3只/板</v>
      </c>
      <c r="E9" s="22" t="str">
        <v>启色数码旗舰店</v>
      </c>
      <c r="F9" s="21" t="str">
        <f>HYPERLINK("https://item.taobao.com/item.htm?id=832569969546","打开订单商品")</f>
        <v>打开订单商品</v>
      </c>
      <c r="G9" s="22" t="str">
        <v>EH2.5MM 2P胶壳（50个）</v>
      </c>
      <c r="H9" s="3" t="n">
        <v>50</v>
      </c>
      <c r="I9" s="22" t="str">
        <v>每只母壳还需2个压接端子；商品称 EH2.5，不混用 XH2.54。</v>
      </c>
      <c r="J9" s="22" t="n">
        <v>82</v>
      </c>
      <c r="K9"/>
    </row>
    <row r="10" ht="60" customHeight="1">
      <c r="A10" s="22" t="str">
        <v>配套接插件</v>
      </c>
      <c r="B10" s="22" t="str">
        <v>EH 3P 母壳</v>
      </c>
      <c r="C10" s="22" t="str">
        <v>EH 3P，配 HAT J13/J14、IMU J1</v>
      </c>
      <c r="D10" s="22" t="str">
        <v>按实际接线；最多3只/套</v>
      </c>
      <c r="E10" s="22" t="str">
        <v>启色数码旗舰店</v>
      </c>
      <c r="F10" s="21" t="str">
        <f>HYPERLINK("https://item.taobao.com/item.htm?id=832569969546","打开订单商品")</f>
        <v>打开订单商品</v>
      </c>
      <c r="G10" s="22" t="str">
        <v>EH2.5MM 3P胶壳（50个）</v>
      </c>
      <c r="H10" s="3" t="n">
        <v>50</v>
      </c>
      <c r="I10" s="22" t="str">
        <v>每只母壳还需3个压接端子。</v>
      </c>
      <c r="J10" s="22" t="n">
        <v>81</v>
      </c>
      <c r="K10"/>
    </row>
    <row r="11" ht="60" customHeight="1">
      <c r="A11" s="22" t="str">
        <v>配套接插件</v>
      </c>
      <c r="B11" s="22" t="str">
        <v>EH 压接端子</v>
      </c>
      <c r="C11" s="22" t="str">
        <v>EH2.5MM 端子</v>
      </c>
      <c r="D11" s="22" t="str">
        <v>每个使用的插孔1个</v>
      </c>
      <c r="E11" s="22" t="str">
        <v>启色数码旗舰店</v>
      </c>
      <c r="F11" s="21" t="str">
        <f>HYPERLINK("https://item.taobao.com/item.htm?id=832569969546","打开订单商品")</f>
        <v>打开订单商品</v>
      </c>
      <c r="G11" s="22" t="str">
        <v>EH2.5MM 端子（100个）</v>
      </c>
      <c r="H11" s="3" t="n">
        <v>100</v>
      </c>
      <c r="I11" s="22" t="str">
        <v>与 EH 母壳成套；不用 AMP2.0 端子替代。</v>
      </c>
      <c r="J11" s="22" t="n">
        <v>83</v>
      </c>
      <c r="K11"/>
    </row>
    <row r="12" ht="60" customHeight="1">
      <c r="A12" s="22" t="str">
        <v>信号线</v>
      </c>
      <c r="B12" s="22" t="str">
        <v>SH1.0 4P 转杜邦母线</v>
      </c>
      <c r="C12" s="22" t="str">
        <v>SH1.0 4P / 20cm / 杜邦母</v>
      </c>
      <c r="D12" s="22" t="str">
        <v>按连接方案选用</v>
      </c>
      <c r="E12" s="22" t="str">
        <v>信容芯旗舰店</v>
      </c>
      <c r="F12" s="21" t="str">
        <f>HYPERLINK("https://item.taobao.com/item.htm?id=895049863252","打开订单商品")</f>
        <v>打开订单商品</v>
      </c>
      <c r="G12" s="22" t="str">
        <v>0.2m;1.0-4P转杜邦母（5条）</v>
      </c>
      <c r="H12" s="3" t="n">
        <v>5</v>
      </c>
      <c r="I12" s="22" t="str">
        <v>用于外部接口转接；每根线的脚序按 HAT J5 与模块核对，不按线色猜。</v>
      </c>
      <c r="J12" s="22" t="n">
        <v>77</v>
      </c>
      <c r="K12"/>
    </row>
    <row r="13" ht="60" customHeight="1">
      <c r="A13" s="22" t="str">
        <v>信号线</v>
      </c>
      <c r="B13" s="22" t="str">
        <v>SH1.0 4P 转 XH2.54 线</v>
      </c>
      <c r="C13" s="22" t="str">
        <v>SH1.0 4P / 20cm / XH2.54</v>
      </c>
      <c r="D13" s="22" t="str">
        <v>与上一条二选一</v>
      </c>
      <c r="E13" s="22" t="str">
        <v>ruizhilk旗舰店</v>
      </c>
      <c r="F13" s="21" t="str">
        <f>HYPERLINK("https://item.taobao.com/item.htm?id=1021140262048","打开订单商品")</f>
        <v>打开订单商品</v>
      </c>
      <c r="G13" s="22" t="str">
        <v>0.2m;1.0转2.54 4P （2条）</v>
      </c>
      <c r="H13" s="3" t="n">
        <v>2</v>
      </c>
      <c r="I13" s="22" t="str">
        <v>属于替代转接线方案，不计入板上器件数量。</v>
      </c>
      <c r="J13" s="22" t="n">
        <v>38</v>
      </c>
      <c r="K13"/>
    </row>
    <row r="14" ht="60" customHeight="1">
      <c r="A14" s="22" t="str">
        <v>外接模块</v>
      </c>
      <c r="B14" s="22" t="str">
        <v>扬声器</v>
      </c>
      <c r="C14" s="22" t="str">
        <v>3525 腔体 / 4Ω 3W</v>
      </c>
      <c r="D14" s="22" t="str">
        <v>按音频方案选用</v>
      </c>
      <c r="E14" s="22" t="str">
        <v>深圳市优信电子科技有限公司</v>
      </c>
      <c r="F14" s="21" t="str">
        <f>HYPERLINK("https://item.taobao.com/item.htm?id=683920556900","打开订单商品")</f>
        <v>打开订单商品</v>
      </c>
      <c r="G14" s="22" t="str">
        <v>3525腔体-4Ω3W/喇叭</v>
      </c>
      <c r="H14" s="3" t="n">
        <v>1</v>
      </c>
      <c r="I14" s="22" t="str">
        <v>订单自带1.25端子；HAT板座是 EH 2P，需改接或转接，不能直接认为插头相同。</v>
      </c>
      <c r="J14" s="22" t="n">
        <v>103</v>
      </c>
      <c r="K14"/>
    </row>
    <row r="15" ht="60" customHeight="1">
      <c r="A15" s="22" t="str">
        <v>外接模块</v>
      </c>
      <c r="B15" s="22" t="str">
        <v>8×8 ToF 测距模块</v>
      </c>
      <c r="C15" s="22" t="str">
        <v>VL53L5X V2模块配盖片（商品标题 VL53L5CX）</v>
      </c>
      <c r="D15" s="22" t="str">
        <v>按功能需求选用</v>
      </c>
      <c r="E15" s="22" t="str">
        <v>都会明武电子</v>
      </c>
      <c r="F15" s="21" t="str">
        <f>HYPERLINK("https://item.taobao.com/item.htm?id=737603917521","打开订单商品")</f>
        <v>打开订单商品</v>
      </c>
      <c r="G15" s="22" t="str">
        <v>VL53L5X V2模块配盖片</v>
      </c>
      <c r="H15" s="3" t="n">
        <v>1</v>
      </c>
      <c r="I15" s="22" t="str">
        <v>外接模块，不是 PCB 上的裸芯片；模块接线和供电按已验证方案。</v>
      </c>
      <c r="J15" s="22" t="n">
        <v>92</v>
      </c>
      <c r="K15"/>
    </row>
    <row r="16" ht="60" customHeight="1">
      <c r="A16" s="22" t="str">
        <v>外接主控</v>
      </c>
      <c r="B16" s="22" t="str">
        <v>Radxa ZERO 3W</v>
      </c>
      <c r="C16" s="22" t="str">
        <v>2GB RAM / 无eMMC / 带排针</v>
      </c>
      <c r="D16" s="22" t="str">
        <v>1块/HAT（如未已有）</v>
      </c>
      <c r="E16" s="22" t="str">
        <v>瑞莎计算机(深圳)有限公司</v>
      </c>
      <c r="F16" s="21" t="str">
        <f>HYPERLINK("https://item.taobao.com/item.htm?id=763812025816","打开订单商品")</f>
        <v>打开订单商品</v>
      </c>
      <c r="G16" s="22" t="str">
        <v>2GB RAM 无 eMMC 带排针[【Microduck 原版主板】]</v>
      </c>
      <c r="H16" s="3" t="n">
        <v>1</v>
      </c>
      <c r="I16" s="22" t="str">
        <v>已完成订单的主板款式；属于配套主控，不计入 HAT 84 个器件。</v>
      </c>
      <c r="J16" s="22" t="n">
        <v>100</v>
      </c>
      <c r="K16"/>
    </row>
    <row r="17" ht="60" customHeight="1">
      <c r="A17" s="22" t="str">
        <v>烧录工具</v>
      </c>
      <c r="B17" s="22" t="str">
        <v>ST-LINK V2</v>
      </c>
      <c r="C17" s="22" t="str">
        <v>STM32 仿真器，订单进口芯片版本</v>
      </c>
      <c r="D17" s="22" t="str">
        <v>已有可不买</v>
      </c>
      <c r="E17" s="22" t="str">
        <v>zazr旗舰店</v>
      </c>
      <c r="F17" s="21" t="str">
        <f>HYPERLINK("https://item.taobao.com/item.htm?id=581798084270","打开订单商品")</f>
        <v>打开订单商品</v>
      </c>
      <c r="G17" s="22" t="str">
        <v>ST-LINK V2 仿真器 进口芯片软件可升级版本（颜色随机发）1个</v>
      </c>
      <c r="H17" s="3" t="n">
        <v>1</v>
      </c>
      <c r="I17" s="22" t="str">
        <v>用于 IMU STM32 的 SWD 烧录。</v>
      </c>
      <c r="J17" s="22" t="n">
        <v>154</v>
      </c>
      <c r="K17"/>
    </row>
    <row r="18" ht="60" customHeight="1">
      <c r="A18" s="22" t="str">
        <v>制作耗材</v>
      </c>
      <c r="B18" s="22" t="str">
        <v>定制贴片钢网</v>
      </c>
      <c r="C18" s="22" t="str">
        <v>10×10cm 规格</v>
      </c>
      <c r="D18" s="22" t="str">
        <v>HAT、IMU按各自Gerber定制</v>
      </c>
      <c r="E18" s="22" t="str">
        <v>皓越科技smt激光钢网</v>
      </c>
      <c r="F18" s="21" t="str">
        <f>HYPERLINK("https://item.taobao.com/item.htm?id=851008959999","打开订单商品")</f>
        <v>打开订单商品</v>
      </c>
      <c r="G18" s="22" t="str">
        <v>10*10cm</v>
      </c>
      <c r="H18" s="3" t="n">
        <v>1</v>
      </c>
      <c r="I18" s="22" t="str">
        <v>这是定制商品链接，付款后需提供对应钢网文件；订单没有保存具体开孔内容。</v>
      </c>
      <c r="J18" s="22" t="n">
        <v>107</v>
      </c>
      <c r="K18"/>
    </row>
    <row r="19" ht="60" customHeight="1">
      <c r="A19" s="22" t="str">
        <v>制作耗材</v>
      </c>
      <c r="B19" s="22" t="str">
        <v>183℃ 有铅锡膏</v>
      </c>
      <c r="C19" s="22" t="str">
        <v>63/37，订单50g罐装</v>
      </c>
      <c r="D19" s="22" t="str">
        <v>已有可不买</v>
      </c>
      <c r="E19" s="22" t="str">
        <v>中山市宝工电子有限公司</v>
      </c>
      <c r="F19" s="21" t="str">
        <f>HYPERLINK("https://item.taobao.com/item.htm?id=19606507546","打开订单商品")</f>
        <v>打开订单商品</v>
      </c>
      <c r="G19" s="22" t="str">
        <v>手机维修焊锡膏50g</v>
      </c>
      <c r="H19" s="3" t="n">
        <v>1</v>
      </c>
      <c r="I19" s="22" t="str">
        <v>与家庭回流工艺对应；按实际工具和温度流程使用。</v>
      </c>
      <c r="J19" s="22" t="n">
        <v>106</v>
      </c>
      <c r="K19"/>
    </row>
    <row r="20" ht="60" customHeight="1">
      <c r="A20" s="22" t="str">
        <v>制作耗材</v>
      </c>
      <c r="B20" s="22" t="str">
        <v>183℃ 有铅锡膏针筒</v>
      </c>
      <c r="C20" s="22" t="str">
        <v>30g / 针筒 / 含推杆针头</v>
      </c>
      <c r="D20" s="22" t="str">
        <v>与上一条按习惯选用</v>
      </c>
      <c r="E20" s="22" t="str">
        <v>安立信旗舰店</v>
      </c>
      <c r="F20" s="21" t="str">
        <f>HYPERLINK("https://item.taobao.com/item.htm?id=626569273184","打开订单商品")</f>
        <v>打开订单商品</v>
      </c>
      <c r="G20" s="22" t="str">
        <v>183℃中温有铅锡膏30G/支(常用款)  【送推杆/针头】</v>
      </c>
      <c r="H20" s="3" t="n">
        <v>1</v>
      </c>
      <c r="I20" s="22" t="str">
        <v>与罐装锡膏是另一包装方案，不需要两种都买。</v>
      </c>
      <c r="J20" s="22" t="n">
        <v>35</v>
      </c>
      <c r="K20"/>
    </row>
    <row r="21" ht="60" customHeight="1">
      <c r="A21" s="22" t="str">
        <v>制作工具</v>
      </c>
      <c r="B21" s="22" t="str">
        <v>防静电镊子</v>
      </c>
      <c r="C21" s="22" t="str">
        <v>ESD-10 短尖头</v>
      </c>
      <c r="D21" s="22" t="str">
        <v>已有可不买</v>
      </c>
      <c r="E21" s="22" t="str">
        <v>阔筹旗舰店</v>
      </c>
      <c r="F21" s="21" t="str">
        <f>HYPERLINK("https://item.taobao.com/item.htm?id=979077591318","打开订单商品")</f>
        <v>打开订单商品</v>
      </c>
      <c r="G21" s="22" t="str">
        <v>防静电ESD-10【短尖头】</v>
      </c>
      <c r="H21" s="3" t="n">
        <v>1</v>
      </c>
      <c r="I21" s="22" t="str">
        <v>用于贴装。</v>
      </c>
      <c r="J21" s="22" t="n">
        <v>105</v>
      </c>
      <c r="K21"/>
    </row>
    <row r="22" ht="60" customHeight="1">
      <c r="A22" s="22" t="str">
        <v>制作工具</v>
      </c>
      <c r="B22" s="22" t="str">
        <v>恒温加热台</v>
      </c>
      <c r="C22" s="22" t="str">
        <v>150×100mm / 定时 / 3组温度预设</v>
      </c>
      <c r="D22" s="22" t="str">
        <v>已有可不买</v>
      </c>
      <c r="E22" s="22" t="str">
        <v>汉邦电子</v>
      </c>
      <c r="F22" s="21" t="str">
        <f>HYPERLINK("https://item.taobao.com/item.htm?id=956985590887","打开订单商品")</f>
        <v>打开订单商品</v>
      </c>
      <c r="G22" s="22" t="str">
        <v>【150*100mm】智能定时/3组温度预设</v>
      </c>
      <c r="H22" s="3" t="n">
        <v>1</v>
      </c>
      <c r="I22" s="22" t="str">
        <v>订单记录对应家庭回流工具。</v>
      </c>
      <c r="J22" s="22" t="n">
        <v>209</v>
      </c>
      <c r="K22"/>
    </row>
    <row r="23" ht="60" customHeight="1">
      <c r="A23" s="22" t="str">
        <v>返修工具</v>
      </c>
      <c r="B23" s="22" t="str">
        <v>热风枪焊台</v>
      </c>
      <c r="C23" s="22" t="str">
        <v>SBK701D旋钮款（气泵式）</v>
      </c>
      <c r="D23" s="22" t="str">
        <v>按返修需求选用</v>
      </c>
      <c r="E23" s="22" t="str">
        <v>亚润五金专营店</v>
      </c>
      <c r="F23" s="21" t="str">
        <f>HYPERLINK("https://item.taobao.com/item.htm?id=566089419587","打开订单商品")</f>
        <v>打开订单商品</v>
      </c>
      <c r="G23" s="22" t="str">
        <v>SBK701D旋钮款（气泵式/收藏送2支烙铁头）</v>
      </c>
      <c r="H23" s="3" t="n">
        <v>1</v>
      </c>
      <c r="I23" s="22" t="str">
        <v>可用于返修；不计入 PCB BOM。</v>
      </c>
      <c r="J23" s="22" t="n">
        <v>43</v>
      </c>
      <c r="K23"/>
    </row>
    <row r="24" ht="60" customHeight="1">
      <c r="A24" s="22" t="str">
        <v>返修耗材</v>
      </c>
      <c r="B24" s="22" t="str">
        <v>吸锡带</v>
      </c>
      <c r="C24" s="22" t="str">
        <v>1.5mm宽 / 1.5m / X-100型1515</v>
      </c>
      <c r="D24" s="22" t="str">
        <v>按返修需求选用</v>
      </c>
      <c r="E24" s="22" t="str">
        <v>凯特森工具</v>
      </c>
      <c r="F24" s="21" t="str">
        <f>HYPERLINK("https://item.taobao.com/item.htm?id=972313702890","打开订单商品")</f>
        <v>打开订单商品</v>
      </c>
      <c r="G24" s="22" t="str">
        <v>原装吸锡〖宽1.5mm长1.5米〗[X-100型1515]</v>
      </c>
      <c r="H24" s="3" t="n">
        <v>1</v>
      </c>
      <c r="I24" s="22" t="str">
        <v>用于焊盘清理。</v>
      </c>
      <c r="J24" s="22" t="n">
        <v>76</v>
      </c>
      <c r="K24"/>
    </row>
    <row r="25" ht="60" customHeight="1">
      <c r="A25" s="22" t="str">
        <v>制作耗材</v>
      </c>
      <c r="B25" s="22" t="str">
        <v>助焊膏</v>
      </c>
      <c r="C25" s="22" t="str">
        <v>YG-336 / 10g 针筒</v>
      </c>
      <c r="D25" s="22" t="str">
        <v>已有可不买</v>
      </c>
      <c r="E25" s="22" t="str">
        <v>YGTCTECH永冠同创</v>
      </c>
      <c r="F25" s="21" t="str">
        <f>HYPERLINK("https://item.taobao.com/item.htm?id=744370287305","打开订单商品")</f>
        <v>打开订单商品</v>
      </c>
      <c r="G25" s="22" t="str">
        <v>YG-336环保无铅BGA针筒助焊膏10g</v>
      </c>
      <c r="H25" s="3" t="n">
        <v>1</v>
      </c>
      <c r="I25" s="22" t="str">
        <v>原订单款式；不计入 PCB BOM。</v>
      </c>
      <c r="J25" s="22" t="n">
        <v>220</v>
      </c>
      <c r="K25"/>
    </row>
    <row r="26" ht="60" customHeight="1">
      <c r="A26" s="22" t="str">
        <v>清洁耗材</v>
      </c>
      <c r="B26" s="22" t="str">
        <v>洗板清洁套装</v>
      </c>
      <c r="C26" s="22" t="str">
        <v>海绵清洗剂组合</v>
      </c>
      <c r="D26" s="22" t="str">
        <v>已有可不买</v>
      </c>
      <c r="E26" s="22" t="str">
        <v>凯特森工具</v>
      </c>
      <c r="F26" s="21" t="str">
        <f>HYPERLINK("https://item.taobao.com/item.htm?id=1049340097483","打开订单商品")</f>
        <v>打开订单商品</v>
      </c>
      <c r="G26" s="22" t="str">
        <v>海绵清洗剂实惠组合</v>
      </c>
      <c r="H26" s="3" t="n">
        <v>1</v>
      </c>
      <c r="I26" s="22" t="str">
        <v>原订单未提供清洗剂成分，不将其列为电气材料。</v>
      </c>
      <c r="J26" s="22" t="n">
        <v>24</v>
      </c>
      <c r="K26"/>
    </row>
  </sheetData>
  <pageMargins left="0.7" right="0.7" top="0.75" bottom="0.75" header="0.3" footer="0.3"/>
  <tableParts count="1">
    <tablePart r:id="R9a678579e6e24bf5"/>
  </tableParts>
</worksheet>
</file>

<file path=xl/worksheets/sheet5.xml><?xml version="1.0" encoding="utf-8"?>
<worksheet xmlns="http://schemas.openxmlformats.org/spreadsheetml/2006/main" xmlns:r="http://schemas.openxmlformats.org/officeDocument/2006/relationships">
  <sheetViews>
    <sheetView showGridLines="0" workbookViewId="0">
      <pane xSplit="2" ySplit="6" topLeftCell="C7" activePane="bottomRight" state="frozen"/>
    </sheetView>
  </sheetViews>
  <sheetFormatPr defaultRowHeight="15"/>
  <cols>
    <col min="1" max="1" width="12" hidden="0" customWidth="1"/>
    <col min="2" max="2" width="18" hidden="0" customWidth="1"/>
    <col min="3" max="3" width="18" hidden="0" customWidth="1"/>
    <col min="4" max="4" width="31" hidden="0" customWidth="1"/>
    <col min="5" max="5" width="72" hidden="0" customWidth="1"/>
    <col min="6" max="6" width="58" hidden="0" customWidth="1"/>
    <col min="7" max="7" width="18" hidden="0" customWidth="1"/>
    <col min="8" max="8" width="23" hidden="0" customWidth="1"/>
    <col min="9" max="9" width="21" hidden="0" customWidth="1"/>
    <col min="10" max="10" width="62" hidden="0" customWidth="1"/>
  </cols>
  <sheetData>
    <row r="1" ht="24" customHeight="1">
      <c r="A1" s="3"/>
      <c r="B1" s="3"/>
      <c r="C1" s="3"/>
      <c r="D1" s="3"/>
      <c r="E1" s="3"/>
      <c r="F1" s="3"/>
      <c r="G1" s="3"/>
      <c r="H1" s="3"/>
      <c r="I1" s="3"/>
      <c r="J1" s="3"/>
    </row>
    <row r="2" ht="30" customHeight="1">
      <c r="A2" s="5" t="str">
        <v>相关订单匹配依据</v>
      </c>
      <c r="B2" s="6"/>
      <c r="C2" s="6"/>
      <c r="D2" s="6"/>
      <c r="E2" s="6"/>
      <c r="F2" s="6"/>
      <c r="G2" s="6"/>
      <c r="H2" s="6"/>
      <c r="I2" s="6"/>
      <c r="J2" s="6"/>
    </row>
    <row r="3" ht="24" customHeight="1">
      <c r="A3" s="7" t="str">
        <v>源：订单数据.xlsx；仅保留本次采购相关的 84 条商品记录。</v>
      </c>
      <c r="B3" s="3"/>
      <c r="C3" s="3"/>
      <c r="D3" s="3"/>
      <c r="E3" s="3"/>
      <c r="F3" s="3"/>
      <c r="G3" s="3"/>
      <c r="H3" s="3"/>
      <c r="I3" s="3"/>
      <c r="J3" s="3"/>
    </row>
    <row r="4" ht="24" customHeight="1">
      <c r="A4" s="3" t="str">
        <v>数量是订单拍数，不一定等于器件个数。每拍包装数量由商品款式单独解析。</v>
      </c>
      <c r="B4" s="3"/>
      <c r="C4" s="3"/>
      <c r="D4" s="3"/>
      <c r="E4" s="3"/>
      <c r="F4" s="3"/>
      <c r="G4" s="3"/>
      <c r="H4" s="3"/>
      <c r="I4" s="3"/>
      <c r="J4" s="3"/>
    </row>
    <row r="5" ht="24" customHeight="1">
      <c r="A5" s="3" t="str">
        <v>商品金额按原字段抄录，不作为统一单价，不混算采购总价。重复/旧版购买保留作依据。</v>
      </c>
      <c r="B5" s="3"/>
      <c r="C5" s="3"/>
      <c r="D5" s="3"/>
      <c r="E5" s="3"/>
      <c r="F5" s="3"/>
      <c r="G5" s="3"/>
      <c r="H5" s="3"/>
      <c r="I5" s="3"/>
      <c r="J5" s="3"/>
    </row>
    <row r="6" ht="34" customHeight="1">
      <c r="A6" s="16" t="str">
        <v>订单源行</v>
      </c>
      <c r="B6" s="17" t="str">
        <v>提交日期</v>
      </c>
      <c r="C6" s="17" t="str">
        <v>订单状态</v>
      </c>
      <c r="D6" s="17" t="str">
        <v>店铺</v>
      </c>
      <c r="E6" s="17" t="str">
        <v>商品名称（原文）</v>
      </c>
      <c r="F6" s="17" t="str">
        <v>型号款式（原文）</v>
      </c>
      <c r="G6" s="17" t="str">
        <v>商品数量(原值)</v>
      </c>
      <c r="H6" s="17" t="str">
        <v>商品金额(元，原字段)</v>
      </c>
      <c r="I6" s="17" t="str">
        <v>商品链接</v>
      </c>
      <c r="J6" s="18" t="str">
        <v>对应采购项 / 历史用途</v>
      </c>
    </row>
    <row r="7" ht="64" customHeight="1">
      <c r="A7" s="3" t="n">
        <v>4</v>
      </c>
      <c r="B7" s="26" t="d">
        <v>2026-10-11T00:00:00.000Z</v>
      </c>
      <c r="C7" s="22" t="str">
        <v>卖家已发货</v>
      </c>
      <c r="D7" s="22" t="str">
        <v>深圳市RTC电子</v>
      </c>
      <c r="E7" s="22" t="str">
        <v>LSM6DSLTR LSM6DSOTR LSM6DSRTR LSM6DS3TR-C LSM6DSV16XTR LGA14</v>
      </c>
      <c r="F7" s="22" t="str">
        <v>LSM6DSV16XTR</v>
      </c>
      <c r="G7" s="24" t="n">
        <v>2</v>
      </c>
      <c r="H7" s="28" t="n">
        <v>5.75</v>
      </c>
      <c r="I7" s="21" t="str">
        <f>HYPERLINK("https://item.taobao.com/item.htm?id=640391703111","打开商品")</f>
        <v>打开商品</v>
      </c>
      <c r="J7" s="22" t="str">
        <v>同款或历史购买记录</v>
      </c>
    </row>
    <row r="8" ht="64" customHeight="1">
      <c r="A8" s="3" t="n">
        <v>6</v>
      </c>
      <c r="B8" s="26" t="d">
        <v>2026-10-10T00:00:00.000Z</v>
      </c>
      <c r="C8" s="22" t="str">
        <v>卖家已发货</v>
      </c>
      <c r="D8" s="22" t="str">
        <v>永茂电子</v>
      </c>
      <c r="E8" s="22" t="str">
        <v>AMP2.0间距2.0 179228 电池端子连接线 舵机线 镍片端子线</v>
      </c>
      <c r="F8" s="22" t="str">
        <v>200mm;1007/24#;3P;AMP2.0</v>
      </c>
      <c r="G8" s="24" t="n">
        <v>30</v>
      </c>
      <c r="H8" s="28" t="n">
        <v>0.9</v>
      </c>
      <c r="I8" s="21" t="str">
        <f>HYPERLINK("https://item.taobao.com/item.htm?id=825340808235","打开商品")</f>
        <v>打开商品</v>
      </c>
      <c r="J8" s="22" t="str">
        <v>其他接口体系，按对应连接方案使用</v>
      </c>
    </row>
    <row r="9" ht="64" customHeight="1">
      <c r="A9" s="3" t="n">
        <v>16</v>
      </c>
      <c r="B9" s="26" t="d">
        <v>2026-10-02T00:00:00.000Z</v>
      </c>
      <c r="C9" s="22" t="str">
        <v>卖家已发货</v>
      </c>
      <c r="D9" s="22" t="str">
        <v>深圳市加特信科技</v>
      </c>
      <c r="E9" s="22" t="str">
        <v>A2007WV-3P/4P/5P/6P CJT/长江连接器原装 2.0mm 直插针座连接器</v>
      </c>
      <c r="F9" s="22" t="str">
        <v>A2007WV-3P</v>
      </c>
      <c r="G9" s="24" t="n">
        <v>10</v>
      </c>
      <c r="H9" s="28" t="n">
        <v>0.3</v>
      </c>
      <c r="I9" s="21" t="str">
        <f>HYPERLINK("https://item.taobao.com/item.htm?id=598425041338","打开商品")</f>
        <v>打开商品</v>
      </c>
      <c r="J9" s="22" t="str">
        <v>其他接口体系，按对应连接方案使用</v>
      </c>
    </row>
    <row r="10" ht="64" customHeight="1">
      <c r="A10" s="3" t="n">
        <v>17</v>
      </c>
      <c r="B10" s="26" t="d">
        <v>2026-10-02T00:00:00.000Z</v>
      </c>
      <c r="C10" s="22" t="str">
        <v>卖家已发货</v>
      </c>
      <c r="D10" s="22" t="str">
        <v>深圳市加特信科技</v>
      </c>
      <c r="E10" s="22" t="str">
        <v>A2007WR-3P CJT/长江连接器AMP2.0mm间距弯插 线对板 针座连接器</v>
      </c>
      <c r="F10" s="22" t="str">
        <v>暂无</v>
      </c>
      <c r="G10" s="24" t="n">
        <v>10</v>
      </c>
      <c r="H10" s="28" t="n">
        <v>0.27</v>
      </c>
      <c r="I10" s="21" t="str">
        <f>HYPERLINK("https://item.taobao.com/item.htm?id=595594145847","打开商品")</f>
        <v>打开商品</v>
      </c>
      <c r="J10" s="22" t="str">
        <v>其他接口体系，按对应连接方案使用</v>
      </c>
    </row>
    <row r="11" ht="64" customHeight="1">
      <c r="A11" s="3" t="n">
        <v>23</v>
      </c>
      <c r="B11" s="26" t="d">
        <v>2026-09-28T00:00:00.000Z</v>
      </c>
      <c r="C11" s="22" t="str">
        <v>交易成功</v>
      </c>
      <c r="D11" s="22" t="str">
        <v>zxin旗舰店</v>
      </c>
      <c r="E11" s="22" t="str">
        <v>2.54MM间距 双排贴片排母 2*3/4/5/6/8/10/15/20/40P</v>
      </c>
      <c r="F11" s="22" t="str">
        <v>2*20P=5只</v>
      </c>
      <c r="G11" s="24" t="n">
        <v>1</v>
      </c>
      <c r="H11" s="28" t="n">
        <v>9.1</v>
      </c>
      <c r="I11" s="21" t="str">
        <f>HYPERLINK("https://item.taobao.com/item.htm?id=606745016341","打开商品")</f>
        <v>打开商品</v>
      </c>
      <c r="J11" s="22" t="str">
        <v>同款或历史购买记录</v>
      </c>
    </row>
    <row r="12" ht="64" customHeight="1">
      <c r="A12" s="3" t="n">
        <v>24</v>
      </c>
      <c r="B12" s="26" t="d">
        <v>2026-09-28T00:00:00.000Z</v>
      </c>
      <c r="C12" s="22" t="str">
        <v>交易成功</v>
      </c>
      <c r="D12" s="22" t="str">
        <v>凯特森工具</v>
      </c>
      <c r="E12" s="22" t="str">
        <v>精密清洗套装纳米清洁海绵高效吸附洗板水手机主板芯片维修强去污</v>
      </c>
      <c r="F12" s="22" t="str">
        <v>海绵清洗剂实惠组合</v>
      </c>
      <c r="G12" s="24" t="n">
        <v>1</v>
      </c>
      <c r="H12" s="28" t="n">
        <v>14.16</v>
      </c>
      <c r="I12" s="21" t="str">
        <f>HYPERLINK("https://item.taobao.com/item.htm?id=1049340097483","打开商品")</f>
        <v>打开商品</v>
      </c>
      <c r="J12" s="22" t="str">
        <v>洗板清洁套装</v>
      </c>
    </row>
    <row r="13" ht="64" customHeight="1">
      <c r="A13" s="3" t="n">
        <v>33</v>
      </c>
      <c r="B13" s="26" t="d">
        <v>2026-09-26T00:00:00.000Z</v>
      </c>
      <c r="C13" s="22" t="str">
        <v>交易成功</v>
      </c>
      <c r="D13" s="22" t="str">
        <v>智基电子</v>
      </c>
      <c r="E13" s="22" t="str">
        <v>AMP/TE2.0国产现货179228-2 179228-3 179228-4 A2007H-4P AMP2.0</v>
      </c>
      <c r="F13" s="22" t="str">
        <v>镀锡端子100个</v>
      </c>
      <c r="G13" s="24" t="n">
        <v>1</v>
      </c>
      <c r="H13" s="28" t="n">
        <v>2.68</v>
      </c>
      <c r="I13" s="21" t="str">
        <f>HYPERLINK("https://item.taobao.com/item.htm?id=891600917698","打开商品")</f>
        <v>打开商品</v>
      </c>
      <c r="J13" s="22" t="str">
        <v>其他接口体系，按对应连接方案使用</v>
      </c>
    </row>
    <row r="14" ht="64" customHeight="1">
      <c r="A14" s="3" t="n">
        <v>34</v>
      </c>
      <c r="B14" s="26" t="d">
        <v>2026-09-26T00:00:00.000Z</v>
      </c>
      <c r="C14" s="22" t="str">
        <v>交易成功</v>
      </c>
      <c r="D14" s="22" t="str">
        <v>智基电子</v>
      </c>
      <c r="E14" s="22" t="str">
        <v>AMP/TE2.0国产现货179228-2 179228-3 179228-4 A2007H-4P AMP2.0</v>
      </c>
      <c r="F14" s="22" t="str">
        <v>3P胶壳(179228-3)</v>
      </c>
      <c r="G14" s="24" t="n">
        <v>50</v>
      </c>
      <c r="H14" s="28" t="n">
        <v>0.04</v>
      </c>
      <c r="I14" s="21" t="str">
        <f>HYPERLINK("https://item.taobao.com/item.htm?id=891600917698","打开商品")</f>
        <v>打开商品</v>
      </c>
      <c r="J14" s="22" t="str">
        <v>其他接口体系，按对应连接方案使用</v>
      </c>
    </row>
    <row r="15" ht="64" customHeight="1">
      <c r="A15" s="3" t="n">
        <v>35</v>
      </c>
      <c r="B15" s="26" t="d">
        <v>2026-09-25T00:00:00.000Z</v>
      </c>
      <c r="C15" s="22" t="str">
        <v>交易成功</v>
      </c>
      <c r="D15" s="22" t="str">
        <v>安立信旗舰店</v>
      </c>
      <c r="E15" s="22" t="str">
        <v>安立信锡浆贴片焊接锡膏手机维修环保无铅高中低温焊锡膏针筒锡泥</v>
      </c>
      <c r="F15" s="22" t="str">
        <v>183℃中温有铅锡膏30G/支(常用款)  【送推杆/针头】</v>
      </c>
      <c r="G15" s="24" t="n">
        <v>1</v>
      </c>
      <c r="H15" s="28" t="n">
        <v>13.8</v>
      </c>
      <c r="I15" s="21" t="str">
        <f>HYPERLINK("https://item.taobao.com/item.htm?id=626569273184","打开商品")</f>
        <v>打开商品</v>
      </c>
      <c r="J15" s="22" t="str">
        <v>183℃ 有铅锡膏针筒</v>
      </c>
    </row>
    <row r="16" ht="64" customHeight="1">
      <c r="A16" s="3" t="n">
        <v>36</v>
      </c>
      <c r="B16" s="26" t="d">
        <v>2026-09-25T00:00:00.000Z</v>
      </c>
      <c r="C16" s="22" t="str">
        <v>交易成功</v>
      </c>
      <c r="D16" s="22" t="str">
        <v>永茂电子</v>
      </c>
      <c r="E16" s="22" t="str">
        <v>AMP2.0间距2.0 179228 电池端子线 端子连接线 电子线 镍片端子线</v>
      </c>
      <c r="F16" s="22" t="str">
        <v>100mm;1007/24#;3P;AMP2.0</v>
      </c>
      <c r="G16" s="24" t="n">
        <v>30</v>
      </c>
      <c r="H16" s="28" t="n">
        <v>0.9</v>
      </c>
      <c r="I16" s="21" t="str">
        <f>HYPERLINK("https://item.taobao.com/item.htm?id=825340808235","打开商品")</f>
        <v>打开商品</v>
      </c>
      <c r="J16" s="22" t="str">
        <v>其他接口体系，按对应连接方案使用</v>
      </c>
    </row>
    <row r="17" ht="64" customHeight="1">
      <c r="A17" s="3" t="n">
        <v>38</v>
      </c>
      <c r="B17" s="26" t="d">
        <v>2026-09-22T00:00:00.000Z</v>
      </c>
      <c r="C17" s="22" t="str">
        <v>交易成功</v>
      </c>
      <c r="D17" s="22" t="str">
        <v>ruizhilk旗舰店</v>
      </c>
      <c r="E17" s="22" t="str">
        <v>SH1.0转XH2.54mm间距电子线连接线转接线端子线转换线2P3P4P5P6P</v>
      </c>
      <c r="F17" s="22" t="str">
        <v>0.2m;1.0转2.54 4P （2条）</v>
      </c>
      <c r="G17" s="24" t="n">
        <v>1</v>
      </c>
      <c r="H17" s="28" t="n">
        <v>3.4</v>
      </c>
      <c r="I17" s="21" t="str">
        <f>HYPERLINK("https://item.taobao.com/item.htm?id=1021140262048","打开商品")</f>
        <v>打开商品</v>
      </c>
      <c r="J17" s="22" t="str">
        <v>SH1.0 4P 转 XH2.54 线</v>
      </c>
    </row>
    <row r="18" ht="64" customHeight="1">
      <c r="A18" s="3" t="n">
        <v>43</v>
      </c>
      <c r="B18" s="26" t="d">
        <v>2026-09-17T00:00:00.000Z</v>
      </c>
      <c r="C18" s="22" t="str">
        <v>交易成功</v>
      </c>
      <c r="D18" s="22" t="str">
        <v>亚润五金专营店</v>
      </c>
      <c r="E18" s="22" t="str">
        <v>白光BK701D热风枪焊台二合一锡焊电烙铁数显恒温风枪可调温拆焊台</v>
      </c>
      <c r="F18" s="22" t="str">
        <v>SBK701D旋钮款（气泵式/收藏送2支烙铁头）</v>
      </c>
      <c r="G18" s="24" t="n">
        <v>1</v>
      </c>
      <c r="H18" s="28" t="n">
        <v>268</v>
      </c>
      <c r="I18" s="21" t="str">
        <f>HYPERLINK("https://item.taobao.com/item.htm?id=566089419587","打开商品")</f>
        <v>打开商品</v>
      </c>
      <c r="J18" s="22" t="str">
        <v>热风枪焊台</v>
      </c>
    </row>
    <row r="19" ht="64" customHeight="1">
      <c r="A19" s="3" t="n">
        <v>50</v>
      </c>
      <c r="B19" s="26" t="d">
        <v>2026-09-17T00:00:00.000Z</v>
      </c>
      <c r="C19" s="22" t="str">
        <v>交易成功</v>
      </c>
      <c r="D19" s="22" t="str">
        <v>深圳市宏宸电子</v>
      </c>
      <c r="E19" s="22" t="str">
        <v>0603/1608贴片电容 1u1.5u2.2u3.3u4.7u6.8u10u15u22u33u47uF</v>
      </c>
      <c r="F19" s="22" t="str">
        <v>0603 10uF ±10% X5R;10V</v>
      </c>
      <c r="G19" s="24" t="n">
        <v>50</v>
      </c>
      <c r="H19" s="28" t="n">
        <v>0.06</v>
      </c>
      <c r="I19" s="21" t="str">
        <f>HYPERLINK("https://item.taobao.com/item.htm?id=630712731066","打开商品")</f>
        <v>打开商品</v>
      </c>
      <c r="J19" s="22" t="str">
        <v>C1608X5R1A106KT000E</v>
      </c>
    </row>
    <row r="20" ht="64" customHeight="1">
      <c r="A20" s="3" t="n">
        <v>52</v>
      </c>
      <c r="B20" s="26" t="d">
        <v>2026-09-17T00:00:00.000Z</v>
      </c>
      <c r="C20" s="22" t="str">
        <v>交易成功</v>
      </c>
      <c r="D20" s="22" t="str">
        <v>深圳市永芯泰电子企业店</v>
      </c>
      <c r="E20" s="22" t="str">
        <v>0603 0805 1206贴片电阻 10R 100R 1K 2K 4.7K 10K 100K 1M 欧 1%</v>
      </c>
      <c r="F20" s="22" t="str">
        <v>22R/22欧;0603 1%（100个）</v>
      </c>
      <c r="G20" s="24" t="n">
        <v>1</v>
      </c>
      <c r="H20" s="28" t="n">
        <v>1.46</v>
      </c>
      <c r="I20" s="21" t="str">
        <f>HYPERLINK("https://item.taobao.com/item.htm?id=947267344247","打开商品")</f>
        <v>打开商品</v>
      </c>
      <c r="J20" s="22" t="str">
        <v>22Ω 0603 ±1% 电阻</v>
      </c>
    </row>
    <row r="21" ht="64" customHeight="1">
      <c r="A21" s="3" t="n">
        <v>53</v>
      </c>
      <c r="B21" s="26" t="d">
        <v>2026-09-17T00:00:00.000Z</v>
      </c>
      <c r="C21" s="22" t="str">
        <v>交易成功</v>
      </c>
      <c r="D21" s="22" t="str">
        <v>深圳市永芯泰电子企业店</v>
      </c>
      <c r="E21" s="22" t="str">
        <v>0603 0805 1206贴片电阻 10R 100R 1K 2K 4.7K 10K 100K 1M 欧 1%</v>
      </c>
      <c r="F21" s="22" t="str">
        <v>10K;0603 1%（100个）</v>
      </c>
      <c r="G21" s="24" t="n">
        <v>1</v>
      </c>
      <c r="H21" s="28" t="n">
        <v>1.42</v>
      </c>
      <c r="I21" s="21" t="str">
        <f>HYPERLINK("https://item.taobao.com/item.htm?id=947267344247","打开商品")</f>
        <v>打开商品</v>
      </c>
      <c r="J21" s="22" t="str">
        <v>同款或历史购买记录</v>
      </c>
    </row>
    <row r="22" ht="64" customHeight="1">
      <c r="A22" s="3" t="n">
        <v>56</v>
      </c>
      <c r="B22" s="26" t="d">
        <v>2026-09-17T00:00:00.000Z</v>
      </c>
      <c r="C22" s="22" t="str">
        <v>交易成功</v>
      </c>
      <c r="D22" s="22" t="str">
        <v>深圳市永芯泰电子企业店</v>
      </c>
      <c r="E22" s="22" t="str">
        <v>0603 0805 1206贴片电阻 10R 100R 1K 2K 4.7K 10K 100K 1M 欧 1%</v>
      </c>
      <c r="F22" s="22" t="str">
        <v>100K;0603 1%（100个）</v>
      </c>
      <c r="G22" s="24" t="n">
        <v>1</v>
      </c>
      <c r="H22" s="28" t="n">
        <v>1.46</v>
      </c>
      <c r="I22" s="21" t="str">
        <f>HYPERLINK("https://item.taobao.com/item.htm?id=947267344247","打开商品")</f>
        <v>打开商品</v>
      </c>
      <c r="J22" s="22" t="str">
        <v>RC0603FR-07100KL</v>
      </c>
    </row>
    <row r="23" ht="64" customHeight="1">
      <c r="A23" s="3" t="n">
        <v>76</v>
      </c>
      <c r="B23" s="26" t="d">
        <v>2026-09-14T00:00:00.000Z</v>
      </c>
      <c r="C23" s="22" t="str">
        <v>交易成功</v>
      </c>
      <c r="D23" s="22" t="str">
        <v>凯特森工具</v>
      </c>
      <c r="E23" s="22" t="str">
        <v>无铅环保吸锡带焊盘清洁维修残留除锡渣吸锡线PCB电路板手机主板</v>
      </c>
      <c r="F23" s="22" t="str">
        <v>原装吸锡〖宽1.5mm长1.5米〗[X-100型1515]</v>
      </c>
      <c r="G23" s="24" t="n">
        <v>1</v>
      </c>
      <c r="H23" s="28" t="n">
        <v>3.91</v>
      </c>
      <c r="I23" s="21" t="str">
        <f>HYPERLINK("https://item.taobao.com/item.htm?id=972313702890","打开商品")</f>
        <v>打开商品</v>
      </c>
      <c r="J23" s="22" t="str">
        <v>吸锡带</v>
      </c>
    </row>
    <row r="24" ht="64" customHeight="1">
      <c r="A24" s="3" t="n">
        <v>77</v>
      </c>
      <c r="B24" s="26" t="d">
        <v>2026-09-14T00:00:00.000Z</v>
      </c>
      <c r="C24" s="22" t="str">
        <v>交易成功</v>
      </c>
      <c r="D24" s="22" t="str">
        <v>信容芯旗舰店</v>
      </c>
      <c r="E24" s="22" t="str">
        <v>信容芯 SH1.0转杜邦公/杜邦母2P3P4P5P6P7P8P9P10P 28AWG渡锡铜线</v>
      </c>
      <c r="F24" s="22" t="str">
        <v>0.2m;1.0-4P转杜邦母（5条）</v>
      </c>
      <c r="G24" s="24" t="n">
        <v>1</v>
      </c>
      <c r="H24" s="28" t="n">
        <v>4.56</v>
      </c>
      <c r="I24" s="21" t="str">
        <f>HYPERLINK("https://item.taobao.com/item.htm?id=895049863252","打开商品")</f>
        <v>打开商品</v>
      </c>
      <c r="J24" s="22" t="str">
        <v>SH1.0 4P 转杜邦母线</v>
      </c>
    </row>
    <row r="25" ht="64" customHeight="1">
      <c r="A25" s="3" t="n">
        <v>78</v>
      </c>
      <c r="B25" s="26" t="d">
        <v>2026-09-14T00:00:00.000Z</v>
      </c>
      <c r="C25" s="22" t="str">
        <v>交易成功</v>
      </c>
      <c r="D25" s="22" t="str">
        <v>深圳市宏宸电子</v>
      </c>
      <c r="E25" s="22" t="str">
        <v>0603/1608贴片电容 1u1.5u2.2u3.3u4.7u6.8u10u15u22u33u47uF</v>
      </c>
      <c r="F25" s="22" t="str">
        <v>0603 1uF ±10% X7R;50V</v>
      </c>
      <c r="G25" s="24" t="n">
        <v>100</v>
      </c>
      <c r="H25" s="28" t="n">
        <v>0.03</v>
      </c>
      <c r="I25" s="21" t="str">
        <f>HYPERLINK("https://item.taobao.com/item.htm?id=630712731066","打开商品")</f>
        <v>打开商品</v>
      </c>
      <c r="J25" s="22" t="str">
        <v>CC0603KRX5R9BB105, CL10A105KB8NNNC</v>
      </c>
    </row>
    <row r="26" ht="64" customHeight="1">
      <c r="A26" s="3" t="n">
        <v>79</v>
      </c>
      <c r="B26" s="26" t="d">
        <v>2026-09-14T00:00:00.000Z</v>
      </c>
      <c r="C26" s="22" t="str">
        <v>交易成功</v>
      </c>
      <c r="D26" s="22" t="str">
        <v>深圳市宏宸电子</v>
      </c>
      <c r="E26" s="22" t="str">
        <v>0603/1608贴片电容 100n120n150n180n220n270nF 104 154 224 274K</v>
      </c>
      <c r="F26" s="22" t="str">
        <v>0603 100nF ±10% X7R;50V;100个</v>
      </c>
      <c r="G26" s="24" t="n">
        <v>1</v>
      </c>
      <c r="H26" s="28" t="n">
        <v>1.98</v>
      </c>
      <c r="I26" s="21" t="str">
        <f>HYPERLINK("https://item.taobao.com/item.htm?id=731471380840","打开商品")</f>
        <v>打开商品</v>
      </c>
      <c r="J26" s="22" t="str">
        <v>CC0603KRX7R9BB104, CL10B104JB8NNNC</v>
      </c>
    </row>
    <row r="27" ht="64" customHeight="1">
      <c r="A27" s="3" t="n">
        <v>80</v>
      </c>
      <c r="B27" s="26" t="d">
        <v>2026-09-14T00:00:00.000Z</v>
      </c>
      <c r="C27" s="22" t="str">
        <v>交易成功</v>
      </c>
      <c r="D27" s="22" t="str">
        <v>深圳市永芯泰电子企业店</v>
      </c>
      <c r="E27" s="22" t="str">
        <v>0603 0805 1206贴片电阻 10R 100R 1K 2K 4.7K 10K 100K 1M 欧 1%</v>
      </c>
      <c r="F27" s="22" t="str">
        <v>10K;0603 1%（100个）</v>
      </c>
      <c r="G27" s="24" t="n">
        <v>1</v>
      </c>
      <c r="H27" s="28" t="n">
        <v>1.42</v>
      </c>
      <c r="I27" s="21" t="str">
        <f>HYPERLINK("https://item.taobao.com/item.htm?id=947267344247","打开商品")</f>
        <v>打开商品</v>
      </c>
      <c r="J27" s="22" t="str">
        <v>RC0603FR-0710KL</v>
      </c>
    </row>
    <row r="28" ht="64" customHeight="1">
      <c r="A28" s="3" t="n">
        <v>81</v>
      </c>
      <c r="B28" s="26" t="d">
        <v>2026-09-14T00:00:00.000Z</v>
      </c>
      <c r="C28" s="22" t="str">
        <v>交易成功</v>
      </c>
      <c r="D28" s="22" t="str">
        <v>启色数码旗舰店</v>
      </c>
      <c r="E28" s="22" t="str">
        <v>EH2.5MM直针插座 弯针 胶壳 间距2.54MM接插件 2P 3P 4P 5P 6P</v>
      </c>
      <c r="F28" s="22" t="str">
        <v>EH2.5MM 3P胶壳（50个）</v>
      </c>
      <c r="G28" s="24" t="n">
        <v>1</v>
      </c>
      <c r="H28" s="28" t="n">
        <v>2.8</v>
      </c>
      <c r="I28" s="21" t="str">
        <f>HYPERLINK("https://item.taobao.com/item.htm?id=832569969546","打开商品")</f>
        <v>打开商品</v>
      </c>
      <c r="J28" s="22" t="str">
        <v>EH 3P 母壳</v>
      </c>
    </row>
    <row r="29" ht="64" customHeight="1">
      <c r="A29" s="3" t="n">
        <v>82</v>
      </c>
      <c r="B29" s="26" t="d">
        <v>2026-09-14T00:00:00.000Z</v>
      </c>
      <c r="C29" s="22" t="str">
        <v>交易成功</v>
      </c>
      <c r="D29" s="22" t="str">
        <v>启色数码旗舰店</v>
      </c>
      <c r="E29" s="22" t="str">
        <v>EH2.5MM直针插座 弯针 胶壳 间距2.54MM接插件 2P 3P 4P 5P 6P</v>
      </c>
      <c r="F29" s="22" t="str">
        <v>EH2.5MM 2P胶壳（50个）</v>
      </c>
      <c r="G29" s="24" t="n">
        <v>1</v>
      </c>
      <c r="H29" s="28" t="n">
        <v>2.2</v>
      </c>
      <c r="I29" s="21" t="str">
        <f>HYPERLINK("https://item.taobao.com/item.htm?id=832569969546","打开商品")</f>
        <v>打开商品</v>
      </c>
      <c r="J29" s="22" t="str">
        <v>EH 2P 母壳</v>
      </c>
    </row>
    <row r="30" ht="64" customHeight="1">
      <c r="A30" s="3" t="n">
        <v>83</v>
      </c>
      <c r="B30" s="26" t="d">
        <v>2026-09-14T00:00:00.000Z</v>
      </c>
      <c r="C30" s="22" t="str">
        <v>交易成功</v>
      </c>
      <c r="D30" s="22" t="str">
        <v>启色数码旗舰店</v>
      </c>
      <c r="E30" s="22" t="str">
        <v>EH2.5MM直针插座 弯针 胶壳 间距2.54MM接插件 2P 3P 4P 5P 6P</v>
      </c>
      <c r="F30" s="22" t="str">
        <v>EH2.5MM 端子（100个）</v>
      </c>
      <c r="G30" s="24" t="n">
        <v>1</v>
      </c>
      <c r="H30" s="28" t="n">
        <v>3.5</v>
      </c>
      <c r="I30" s="21" t="str">
        <f>HYPERLINK("https://item.taobao.com/item.htm?id=832569969546","打开商品")</f>
        <v>打开商品</v>
      </c>
      <c r="J30" s="22" t="str">
        <v>EH 压接端子</v>
      </c>
    </row>
    <row r="31" ht="64" customHeight="1">
      <c r="A31" s="3" t="n">
        <v>91</v>
      </c>
      <c r="B31" s="26" t="d">
        <v>2026-09-11T00:00:00.000Z</v>
      </c>
      <c r="C31" s="22" t="str">
        <v>交易成功</v>
      </c>
      <c r="D31" s="22" t="str">
        <v>深圳市RTC电子</v>
      </c>
      <c r="E31" s="22" t="str">
        <v>LSM6DSLTR LSM6DSOTR LSM6DSRTR LSM6DS3TR-C LSM6DSV16XTR LGA14</v>
      </c>
      <c r="F31" s="22" t="str">
        <v>LSM6DSV16XTR</v>
      </c>
      <c r="G31" s="24" t="n">
        <v>2</v>
      </c>
      <c r="H31" s="28" t="n">
        <v>5.75</v>
      </c>
      <c r="I31" s="21" t="str">
        <f>HYPERLINK("https://item.taobao.com/item.htm?id=640391703111","打开商品")</f>
        <v>打开商品</v>
      </c>
      <c r="J31" s="22" t="str">
        <v>LSM6DSV16XTR</v>
      </c>
    </row>
    <row r="32" ht="64" customHeight="1">
      <c r="A32" s="3" t="n">
        <v>92</v>
      </c>
      <c r="B32" s="26" t="d">
        <v>2026-09-11T00:00:00.000Z</v>
      </c>
      <c r="C32" s="22" t="str">
        <v>交易成功</v>
      </c>
      <c r="D32" s="22" t="str">
        <v>都会明武电子</v>
      </c>
      <c r="E32" s="22" t="str">
        <v>VL53L5X V2 TOF宽视场飞行时间多区域激光测距传感器模块VL53L5CX</v>
      </c>
      <c r="F32" s="22" t="str">
        <v>VL53L5X V2模块配盖片</v>
      </c>
      <c r="G32" s="24" t="n">
        <v>1</v>
      </c>
      <c r="H32" s="28" t="n">
        <v>49.5</v>
      </c>
      <c r="I32" s="21" t="str">
        <f>HYPERLINK("https://item.taobao.com/item.htm?id=737603917521","打开商品")</f>
        <v>打开商品</v>
      </c>
      <c r="J32" s="22" t="str">
        <v>8×8 ToF 测距模块</v>
      </c>
    </row>
    <row r="33" ht="64" customHeight="1">
      <c r="A33" s="3" t="n">
        <v>93</v>
      </c>
      <c r="B33" s="26" t="d">
        <v>2026-09-11T00:00:00.000Z</v>
      </c>
      <c r="C33" s="22" t="str">
        <v>交易成功</v>
      </c>
      <c r="D33" s="22" t="str">
        <v>一芯向上电子</v>
      </c>
      <c r="E33" s="22" t="str">
        <v>SI2300 2301 2302 2303 2304 2305 2306 2307 2308 2312DS 2309</v>
      </c>
      <c r="F33" s="22" t="str">
        <v>SI2312DS（AE9T）N沟道（20只）</v>
      </c>
      <c r="G33" s="24" t="n">
        <v>1</v>
      </c>
      <c r="H33" s="28" t="n">
        <v>3</v>
      </c>
      <c r="I33" s="21" t="str">
        <f>HYPERLINK("https://item.taobao.com/item.htm?id=909264246006","打开商品")</f>
        <v>打开商品</v>
      </c>
      <c r="J33" s="22" t="str">
        <v>SI2312CDS-T1-GE3</v>
      </c>
    </row>
    <row r="34" ht="64" customHeight="1">
      <c r="A34" s="3" t="n">
        <v>94</v>
      </c>
      <c r="B34" s="26" t="d">
        <v>2026-09-11T00:00:00.000Z</v>
      </c>
      <c r="C34" s="22" t="str">
        <v>交易成功</v>
      </c>
      <c r="D34" s="22" t="str">
        <v>深圳市乐桥微科技</v>
      </c>
      <c r="E34" s="22" t="str">
        <v>全新原装BAT54SW BAT54S SOT-323 丝印44t 肖特基贴片三极管 20只</v>
      </c>
      <c r="F34" s="22" t="str">
        <v>BAT54SW 印字44t（20只）</v>
      </c>
      <c r="G34" s="24" t="n">
        <v>1</v>
      </c>
      <c r="H34" s="28" t="n">
        <v>4.5</v>
      </c>
      <c r="I34" s="21" t="str">
        <f>HYPERLINK("https://item.taobao.com/item.htm?id=793455311175","打开商品")</f>
        <v>打开商品</v>
      </c>
      <c r="J34" s="22" t="str">
        <v>BAT54SW,115</v>
      </c>
    </row>
    <row r="35" ht="64" customHeight="1">
      <c r="A35" s="3" t="n">
        <v>95</v>
      </c>
      <c r="B35" s="26" t="d">
        <v>2026-09-11T00:00:00.000Z</v>
      </c>
      <c r="C35" s="22" t="str">
        <v>交易成功</v>
      </c>
      <c r="D35" s="22" t="str">
        <v>贤辉亿芯</v>
      </c>
      <c r="E35" s="22" t="str">
        <v>PTC热敏电阻 0603 100R 47R 33R 220R 470R 过电流热保护RPG18BB</v>
      </c>
      <c r="F35" s="22" t="str">
        <v>100R  PRG18BB101MB1RB</v>
      </c>
      <c r="G35" s="24" t="n">
        <v>10</v>
      </c>
      <c r="H35" s="28" t="n">
        <v>0.7</v>
      </c>
      <c r="I35" s="21" t="str">
        <f>HYPERLINK("https://item.taobao.com/item.htm?id=582129955778","打开商品")</f>
        <v>打开商品</v>
      </c>
      <c r="J35" s="22" t="str">
        <v>旧 TH1 的100Ω PTC，当前用料记录已改为22Ω电阻</v>
      </c>
    </row>
    <row r="36" ht="64" customHeight="1">
      <c r="A36" s="3" t="n">
        <v>96</v>
      </c>
      <c r="B36" s="26" t="d">
        <v>2026-09-11T00:00:00.000Z</v>
      </c>
      <c r="C36" s="22" t="str">
        <v>交易成功</v>
      </c>
      <c r="D36" s="22" t="str">
        <v>优好电子</v>
      </c>
      <c r="E36" s="22" t="str">
        <v>0402 0603 0805 1206 1210贴片电容22UF 226K 226P X5R 10% 50V</v>
      </c>
      <c r="F36" s="22" t="str">
        <v>22UF 226K 10% X5R;10V;0603=100个</v>
      </c>
      <c r="G36" s="24" t="n">
        <v>1</v>
      </c>
      <c r="H36" s="28" t="n">
        <v>3.5</v>
      </c>
      <c r="I36" s="21" t="str">
        <f>HYPERLINK("https://item.taobao.com/item.htm?id=993202872551","打开商品")</f>
        <v>打开商品</v>
      </c>
      <c r="J36" s="22" t="str">
        <v>GRM188R61A226ME15D</v>
      </c>
    </row>
    <row r="37" ht="64" customHeight="1">
      <c r="A37" s="3" t="n">
        <v>100</v>
      </c>
      <c r="B37" s="26" t="d">
        <v>2026-09-10T00:00:00.000Z</v>
      </c>
      <c r="C37" s="22" t="str">
        <v>交易成功</v>
      </c>
      <c r="D37" s="22" t="str">
        <v>瑞莎计算机(深圳)有限公司</v>
      </c>
      <c r="E37" s="22" t="str">
        <v>瑞莎 Radxa 迷你主板 ZERO 3W RK3566 四核CPU WiFi6 Microduck</v>
      </c>
      <c r="F37" s="22" t="str">
        <v>2GB RAM 无 eMMC 带排针[【Microduck 原版主板】]</v>
      </c>
      <c r="G37" s="24" t="n">
        <v>1</v>
      </c>
      <c r="H37" s="28" t="n">
        <v>309</v>
      </c>
      <c r="I37" s="21" t="str">
        <f>HYPERLINK("https://item.taobao.com/item.htm?id=763812025816","打开商品")</f>
        <v>打开商品</v>
      </c>
      <c r="J37" s="22" t="str">
        <v>Radxa ZERO 3W</v>
      </c>
    </row>
    <row r="38" ht="64" customHeight="1">
      <c r="A38" s="3" t="n">
        <v>103</v>
      </c>
      <c r="B38" s="26" t="d">
        <v>2026-09-09T00:00:00.000Z</v>
      </c>
      <c r="C38" s="22" t="str">
        <v>交易成功</v>
      </c>
      <c r="D38" s="22" t="str">
        <v>深圳市优信电子科技有限公司</v>
      </c>
      <c r="E38" s="22" t="str">
        <v>3525腔体-4Ω3W/8Ω2W BOX蓝牙音响扬声器安防喇叭 带1.25端子</v>
      </c>
      <c r="F38" s="22" t="str">
        <v>3525腔体-4Ω3W/喇叭</v>
      </c>
      <c r="G38" s="24" t="n">
        <v>1</v>
      </c>
      <c r="H38" s="28" t="n">
        <v>3.08</v>
      </c>
      <c r="I38" s="21" t="str">
        <f>HYPERLINK("https://item.taobao.com/item.htm?id=683920556900","打开商品")</f>
        <v>打开商品</v>
      </c>
      <c r="J38" s="22" t="str">
        <v>扬声器</v>
      </c>
    </row>
    <row r="39" ht="64" customHeight="1">
      <c r="A39" s="3" t="n">
        <v>105</v>
      </c>
      <c r="B39" s="26" t="d">
        <v>2026-09-09T00:00:00.000Z</v>
      </c>
      <c r="C39" s="22" t="str">
        <v>交易成功</v>
      </c>
      <c r="D39" s="22" t="str">
        <v>阔筹旗舰店</v>
      </c>
      <c r="E39" s="22" t="str">
        <v>防静电润轴镊子机械键盘短接镊子尖头弯头圆头精密电子元器件焊接</v>
      </c>
      <c r="F39" s="22" t="str">
        <v>防静电ESD-10【短尖头】</v>
      </c>
      <c r="G39" s="24" t="n">
        <v>1</v>
      </c>
      <c r="H39" s="28" t="n">
        <v>1.98</v>
      </c>
      <c r="I39" s="21" t="str">
        <f>HYPERLINK("https://item.taobao.com/item.htm?id=979077591318","打开商品")</f>
        <v>打开商品</v>
      </c>
      <c r="J39" s="22" t="str">
        <v>防静电镊子</v>
      </c>
    </row>
    <row r="40" ht="64" customHeight="1">
      <c r="A40" s="3" t="n">
        <v>106</v>
      </c>
      <c r="B40" s="26" t="d">
        <v>2026-09-09T00:00:00.000Z</v>
      </c>
      <c r="C40" s="22" t="str">
        <v>交易成功</v>
      </c>
      <c r="D40" s="22" t="str">
        <v>中山市宝工电子有限公司</v>
      </c>
      <c r="E40" s="22" t="str">
        <v>厂家直销 有铅锡膏 6337锡膏 SMT贴片锡浆 LED锡膏 焊锡膏183℃</v>
      </c>
      <c r="F40" s="22" t="str">
        <v>手机维修焊锡膏50g</v>
      </c>
      <c r="G40" s="24" t="n">
        <v>1</v>
      </c>
      <c r="H40" s="28" t="n">
        <v>20.99</v>
      </c>
      <c r="I40" s="21" t="str">
        <f>HYPERLINK("https://item.taobao.com/item.htm?id=19606507546","打开商品")</f>
        <v>打开商品</v>
      </c>
      <c r="J40" s="22" t="str">
        <v>183℃ 有铅锡膏</v>
      </c>
    </row>
    <row r="41" ht="64" customHeight="1">
      <c r="A41" s="3" t="n">
        <v>107</v>
      </c>
      <c r="B41" s="26" t="d">
        <v>2026-09-09T00:00:00.000Z</v>
      </c>
      <c r="C41" s="22" t="str">
        <v>交易成功</v>
      </c>
      <c r="D41" s="22" t="str">
        <v>皓越科技smt激光钢网</v>
      </c>
      <c r="E41" s="22" t="str">
        <v>手帖打样SMT钢网精密制造PCB模板贴片锡膏红胶LED钢网小钢片</v>
      </c>
      <c r="F41" s="22" t="str">
        <v>10*10cm</v>
      </c>
      <c r="G41" s="24" t="n">
        <v>1</v>
      </c>
      <c r="H41" s="28" t="n">
        <v>8.6</v>
      </c>
      <c r="I41" s="21" t="str">
        <f>HYPERLINK("https://item.taobao.com/item.htm?id=851008959999","打开商品")</f>
        <v>打开商品</v>
      </c>
      <c r="J41" s="22" t="str">
        <v>定制贴片钢网</v>
      </c>
    </row>
    <row r="42" ht="64" customHeight="1">
      <c r="A42" s="3" t="n">
        <v>117</v>
      </c>
      <c r="B42" s="26" t="d">
        <v>2026-09-07T00:00:00.000Z</v>
      </c>
      <c r="C42" s="22" t="str">
        <v>交易成功</v>
      </c>
      <c r="D42" s="22" t="str">
        <v>启色数码旗舰店</v>
      </c>
      <c r="E42" s="22" t="str">
        <v>EH2.5MM直针插座 弯针 胶壳 间距2.54MM接插件 2P 3P 4P 5P 6P</v>
      </c>
      <c r="F42" s="22" t="str">
        <v>EH2.5MM 3P直针座（50个）</v>
      </c>
      <c r="G42" s="24" t="n">
        <v>1</v>
      </c>
      <c r="H42" s="28" t="n">
        <v>3</v>
      </c>
      <c r="I42" s="21" t="str">
        <f>HYPERLINK("https://item.taobao.com/item.htm?id=832569969546","打开商品")</f>
        <v>打开商品</v>
      </c>
      <c r="J42" s="22" t="str">
        <v>B3B-EH-A(LF)(SN)</v>
      </c>
    </row>
    <row r="43" ht="64" customHeight="1">
      <c r="A43" s="3" t="n">
        <v>118</v>
      </c>
      <c r="B43" s="26" t="d">
        <v>2026-09-07T00:00:00.000Z</v>
      </c>
      <c r="C43" s="22" t="str">
        <v>交易成功</v>
      </c>
      <c r="D43" s="22" t="str">
        <v>启色数码旗舰店</v>
      </c>
      <c r="E43" s="22" t="str">
        <v>EH2.5MM直针插座 弯针 胶壳 间距2.54MM接插件 2P 3P 4P 5P 6P</v>
      </c>
      <c r="F43" s="22" t="str">
        <v>EH2.5MM 2P直针座（50个）</v>
      </c>
      <c r="G43" s="24" t="n">
        <v>1</v>
      </c>
      <c r="H43" s="28" t="n">
        <v>2.5</v>
      </c>
      <c r="I43" s="21" t="str">
        <f>HYPERLINK("https://item.taobao.com/item.htm?id=832569969546","打开商品")</f>
        <v>打开商品</v>
      </c>
      <c r="J43" s="22" t="str">
        <v>B2B-EH-A(LF)(SN)</v>
      </c>
    </row>
    <row r="44" ht="64" customHeight="1">
      <c r="A44" s="3" t="n">
        <v>119</v>
      </c>
      <c r="B44" s="26" t="d">
        <v>2026-09-07T00:00:00.000Z</v>
      </c>
      <c r="C44" s="22" t="str">
        <v>交易成功</v>
      </c>
      <c r="D44" s="22" t="str">
        <v>启色数码旗舰店</v>
      </c>
      <c r="E44" s="22" t="str">
        <v>XC6206P182MR 丝印65K5 SOT-23 1.8V 300MA 贴片稳压芯片 (20个)</v>
      </c>
      <c r="F44" s="22" t="str">
        <v>XC6206P182MR 65K5 SOT-23 (20个)</v>
      </c>
      <c r="G44" s="24" t="n">
        <v>1</v>
      </c>
      <c r="H44" s="28" t="n">
        <v>1.8</v>
      </c>
      <c r="I44" s="21" t="str">
        <f>HYPERLINK("https://item.taobao.com/item.htm?id=762173333947","打开商品")</f>
        <v>打开商品</v>
      </c>
      <c r="J44" s="22" t="str">
        <v>XC6206P182MR</v>
      </c>
    </row>
    <row r="45" ht="64" customHeight="1">
      <c r="A45" s="3" t="n">
        <v>121</v>
      </c>
      <c r="B45" s="26" t="d">
        <v>2026-09-07T00:00:00.000Z</v>
      </c>
      <c r="C45" s="22" t="str">
        <v>交易成功</v>
      </c>
      <c r="D45" s="22" t="str">
        <v>稳泊仕旗舰店</v>
      </c>
      <c r="E45" s="22" t="str">
        <v>MMBT3904 1AM  MMBT3906 2A SOT-23贴片晶体功率三极管NPN PNP</v>
      </c>
      <c r="F45" s="22" t="str">
        <v>MMBT3906 丝印2A SOT-23(50个)</v>
      </c>
      <c r="G45" s="24" t="n">
        <v>1</v>
      </c>
      <c r="H45" s="28" t="n">
        <v>1.77</v>
      </c>
      <c r="I45" s="21" t="str">
        <f>HYPERLINK("https://item.taobao.com/item.htm?id=944306254140","打开商品")</f>
        <v>打开商品</v>
      </c>
      <c r="J45" s="22" t="str">
        <v>MMBT3906</v>
      </c>
    </row>
    <row r="46" ht="64" customHeight="1">
      <c r="A46" s="3" t="n">
        <v>122</v>
      </c>
      <c r="B46" s="26" t="d">
        <v>2026-09-07T00:00:00.000Z</v>
      </c>
      <c r="C46" s="22" t="str">
        <v>交易成功</v>
      </c>
      <c r="D46" s="22" t="str">
        <v>稳泊仕旗舰店</v>
      </c>
      <c r="E46" s="22" t="str">
        <v>SOD-323稳压管BZT52C5V1S 2.4V3.3V4.7V5.1V10V12V15V24V30V33V47</v>
      </c>
      <c r="F46" s="22" t="str">
        <v>BZT52C5V1S W8 SOD-323 (50个)</v>
      </c>
      <c r="G46" s="24" t="n">
        <v>1</v>
      </c>
      <c r="H46" s="28" t="n">
        <v>1.53</v>
      </c>
      <c r="I46" s="21" t="str">
        <f>HYPERLINK("https://item.taobao.com/item.htm?id=943185002457","打开商品")</f>
        <v>打开商品</v>
      </c>
      <c r="J46" s="22" t="str">
        <v>BZT52C5V1S-7-F</v>
      </c>
    </row>
    <row r="47" ht="64" customHeight="1">
      <c r="A47" s="3" t="n">
        <v>124</v>
      </c>
      <c r="B47" s="26" t="d">
        <v>2026-09-07T00:00:00.000Z</v>
      </c>
      <c r="C47" s="22" t="str">
        <v>交易成功</v>
      </c>
      <c r="D47" s="22" t="str">
        <v>欧贝顿旗舰店</v>
      </c>
      <c r="E47" s="22" t="str">
        <v>0603 10NF 50V 100V 250V 10% 103K X7R材质 1608贴片陶瓷电容</v>
      </c>
      <c r="F47" s="22" t="str">
        <v>0603 10NF 50V 10% 100个</v>
      </c>
      <c r="G47" s="24" t="n">
        <v>1</v>
      </c>
      <c r="H47" s="28" t="n">
        <v>2</v>
      </c>
      <c r="I47" s="21" t="str">
        <f>HYPERLINK("https://item.taobao.com/item.htm?id=610558214623","打开商品")</f>
        <v>打开商品</v>
      </c>
      <c r="J47" s="22" t="str">
        <v>CC0603KRX7R9BB103</v>
      </c>
    </row>
    <row r="48" ht="64" customHeight="1">
      <c r="A48" s="3" t="n">
        <v>125</v>
      </c>
      <c r="B48" s="26" t="d">
        <v>2026-09-07T00:00:00.000Z</v>
      </c>
      <c r="C48" s="22" t="str">
        <v>交易成功</v>
      </c>
      <c r="D48" s="22" t="str">
        <v>科芯奇旗舰店</v>
      </c>
      <c r="E48" s="22" t="str">
        <v>贴片磁珠 0402 0603 0805 1206 0R/30R/60R/100R/600R/1K 全系列</v>
      </c>
      <c r="F48" s="22" t="str">
        <v>0603_120R_2A_±25%【100只】</v>
      </c>
      <c r="G48" s="24" t="n">
        <v>1</v>
      </c>
      <c r="H48" s="28" t="n">
        <v>4</v>
      </c>
      <c r="I48" s="21" t="str">
        <f>HYPERLINK("https://item.taobao.com/item.htm?id=931081429973","打开商品")</f>
        <v>打开商品</v>
      </c>
      <c r="J48" s="22" t="str">
        <v>PE-0603PFB121ST</v>
      </c>
    </row>
    <row r="49" ht="64" customHeight="1">
      <c r="A49" s="3" t="n">
        <v>126</v>
      </c>
      <c r="B49" s="26" t="d">
        <v>2026-09-07T00:00:00.000Z</v>
      </c>
      <c r="C49" s="22" t="str">
        <v>交易成功</v>
      </c>
      <c r="D49" s="22" t="str">
        <v>科芯奇旗舰店</v>
      </c>
      <c r="E49" s="22" t="str">
        <v>贴片磁珠 0402 0603 0805 1206 0R/30R/60R/100R/600R/1K 全系列</v>
      </c>
      <c r="F49" s="22" t="str">
        <v>0603_600R_1.3A_±25%【100只】</v>
      </c>
      <c r="G49" s="24" t="n">
        <v>1</v>
      </c>
      <c r="H49" s="28" t="n">
        <v>5.6</v>
      </c>
      <c r="I49" s="21" t="str">
        <f>HYPERLINK("https://item.taobao.com/item.htm?id=931081429973","打开商品")</f>
        <v>打开商品</v>
      </c>
      <c r="J49" s="22" t="str">
        <v>BLM18KG601SN1D</v>
      </c>
    </row>
    <row r="50" ht="64" customHeight="1">
      <c r="A50" s="3" t="n">
        <v>127</v>
      </c>
      <c r="B50" s="26" t="d">
        <v>2026-09-07T00:00:00.000Z</v>
      </c>
      <c r="C50" s="22" t="str">
        <v>交易成功</v>
      </c>
      <c r="D50" s="22" t="str">
        <v>迪林旗舰店</v>
      </c>
      <c r="E50" s="22" t="str">
        <v>一体成型贴片功率电感0420/0520/0630/0650/1040/1265/1770/0850</v>
      </c>
      <c r="F50" s="22" t="str">
        <v>合金0630 6.8UH 印6R8 10个 6A 一体</v>
      </c>
      <c r="G50" s="24" t="n">
        <v>1</v>
      </c>
      <c r="H50" s="28" t="n">
        <v>2</v>
      </c>
      <c r="I50" s="21" t="str">
        <f>HYPERLINK("https://item.taobao.com/item.htm?id=598174251748","打开商品")</f>
        <v>打开商品</v>
      </c>
      <c r="J50" s="22" t="str">
        <v>SWPA6045S6R8MT</v>
      </c>
    </row>
    <row r="51" ht="64" customHeight="1">
      <c r="A51" s="3" t="n">
        <v>128</v>
      </c>
      <c r="B51" s="26" t="d">
        <v>2026-09-07T00:00:00.000Z</v>
      </c>
      <c r="C51" s="22" t="str">
        <v>交易成功</v>
      </c>
      <c r="D51" s="22" t="str">
        <v>深圳市德明电子贸易商城</v>
      </c>
      <c r="E51" s="22" t="str">
        <v>全新SN74LVC1G14 17 08 04 02 07 00 32 66 125 126DBVR SOT23-5</v>
      </c>
      <c r="F51" s="22" t="str">
        <v>SN74LVC1G125DBVR;5个全国包邮</v>
      </c>
      <c r="G51" s="24" t="n">
        <v>1</v>
      </c>
      <c r="H51" s="28" t="n">
        <v>1.3</v>
      </c>
      <c r="I51" s="21" t="str">
        <f>HYPERLINK("https://item.taobao.com/item.htm?id=902117985110","打开商品")</f>
        <v>打开商品</v>
      </c>
      <c r="J51" s="22" t="str">
        <v>SN74LVC1G125DBVR-TP</v>
      </c>
    </row>
    <row r="52" ht="64" customHeight="1">
      <c r="A52" s="3" t="n">
        <v>129</v>
      </c>
      <c r="B52" s="26" t="d">
        <v>2026-09-07T00:00:00.000Z</v>
      </c>
      <c r="C52" s="22" t="str">
        <v>交易成功</v>
      </c>
      <c r="D52" s="22" t="str">
        <v>深圳市德明电子贸易商城</v>
      </c>
      <c r="E52" s="22" t="str">
        <v>全新SN74LVC1G14 17 08 04 02 07 00 32 66 125 126DBVR SOT23-5</v>
      </c>
      <c r="F52" s="22" t="str">
        <v>SN74LVC1G126DBVR;5个全国包邮</v>
      </c>
      <c r="G52" s="24" t="n">
        <v>1</v>
      </c>
      <c r="H52" s="28" t="n">
        <v>1.8</v>
      </c>
      <c r="I52" s="21" t="str">
        <f>HYPERLINK("https://item.taobao.com/item.htm?id=902117985110","打开商品")</f>
        <v>打开商品</v>
      </c>
      <c r="J52" s="22" t="str">
        <v>SN74LVC1G126DBVR</v>
      </c>
    </row>
    <row r="53" ht="64" customHeight="1">
      <c r="A53" s="3" t="n">
        <v>130</v>
      </c>
      <c r="B53" s="26" t="d">
        <v>2026-09-07T00:00:00.000Z</v>
      </c>
      <c r="C53" s="22" t="str">
        <v>交易成功</v>
      </c>
      <c r="D53" s="22" t="str">
        <v>深圳市德明电子贸易商城</v>
      </c>
      <c r="E53" s="22" t="str">
        <v>全新SN74LVC1G14 17 08 04 02 07 00 32 66 125 126DBVR SOT23-5</v>
      </c>
      <c r="F53" s="22" t="str">
        <v>SN74LVC1G08DBVR;5个全国包邮</v>
      </c>
      <c r="G53" s="24" t="n">
        <v>1</v>
      </c>
      <c r="H53" s="28" t="n">
        <v>1.2</v>
      </c>
      <c r="I53" s="21" t="str">
        <f>HYPERLINK("https://item.taobao.com/item.htm?id=902117985110","打开商品")</f>
        <v>打开商品</v>
      </c>
      <c r="J53" s="22" t="str">
        <v>SN74LVC1G08DBVR</v>
      </c>
    </row>
    <row r="54" ht="64" customHeight="1">
      <c r="A54" s="3" t="n">
        <v>131</v>
      </c>
      <c r="B54" s="26" t="d">
        <v>2026-09-07T00:00:00.000Z</v>
      </c>
      <c r="C54" s="22" t="str">
        <v>交易成功</v>
      </c>
      <c r="D54" s="22" t="str">
        <v>深圳市晶诺源电子</v>
      </c>
      <c r="E54" s="22" t="str">
        <v>SMD322550327050有源晶振4M8M12M16M20M24M25M27M30M32M40M50M</v>
      </c>
      <c r="F54" s="22" t="str">
        <v>12MHZ 1.2V~3.36V宽压[高精度10PPM];SMD2520-4P CMOS输出</v>
      </c>
      <c r="G54" s="24" t="n">
        <v>5</v>
      </c>
      <c r="H54" s="28" t="n">
        <v>1.45</v>
      </c>
      <c r="I54" s="21" t="str">
        <f>HYPERLINK("https://item.taobao.com/item.htm?id=944053669860","打开商品")</f>
        <v>打开商品</v>
      </c>
      <c r="J54" s="22" t="str">
        <v>OT3EL89CJI-111YLC-12M</v>
      </c>
    </row>
    <row r="55" ht="64" customHeight="1">
      <c r="A55" s="3" t="n">
        <v>132</v>
      </c>
      <c r="B55" s="26" t="d">
        <v>2026-09-07T00:00:00.000Z</v>
      </c>
      <c r="C55" s="22" t="str">
        <v>交易成功</v>
      </c>
      <c r="D55" s="22" t="str">
        <v>深圳市远大芯程科技</v>
      </c>
      <c r="E55" s="22" t="str">
        <v>原装正品 PAM8406DR 封装SOP16 音频放大器芯片</v>
      </c>
      <c r="F55" s="22" t="str">
        <v>PAM8406DR</v>
      </c>
      <c r="G55" s="24" t="n">
        <v>5</v>
      </c>
      <c r="H55" s="28" t="n">
        <v>1.18</v>
      </c>
      <c r="I55" s="21" t="str">
        <f>HYPERLINK("https://item.taobao.com/item.htm?id=808484505787","打开商品")</f>
        <v>打开商品</v>
      </c>
      <c r="J55" s="22" t="str">
        <v>PAM8406DR</v>
      </c>
    </row>
    <row r="56" ht="64" customHeight="1">
      <c r="A56" s="3" t="n">
        <v>133</v>
      </c>
      <c r="B56" s="26" t="d">
        <v>2026-09-07T00:00:00.000Z</v>
      </c>
      <c r="C56" s="22" t="str">
        <v>交易成功</v>
      </c>
      <c r="D56" s="22" t="str">
        <v>深圳优盛电子科技</v>
      </c>
      <c r="E56" s="22" t="str">
        <v>100只包邮贴片电容0402 0603 0805 1206 1210 100NF 104K 1UF-106</v>
      </c>
      <c r="F56" s="22" t="str">
        <v>10UF (106) 精度10%;0603=100个;10V</v>
      </c>
      <c r="G56" s="24" t="n">
        <v>1</v>
      </c>
      <c r="H56" s="28" t="n">
        <v>3</v>
      </c>
      <c r="I56" s="21" t="str">
        <f>HYPERLINK("https://item.taobao.com/item.htm?id=857961351344","打开商品")</f>
        <v>打开商品</v>
      </c>
      <c r="J56" s="22" t="str">
        <v>同款或历史购买记录</v>
      </c>
    </row>
    <row r="57" ht="64" customHeight="1">
      <c r="A57" s="3" t="n">
        <v>134</v>
      </c>
      <c r="B57" s="26" t="d">
        <v>2026-09-07T00:00:00.000Z</v>
      </c>
      <c r="C57" s="22" t="str">
        <v>交易成功</v>
      </c>
      <c r="D57" s="22" t="str">
        <v>深圳市永芯泰电子企业店</v>
      </c>
      <c r="E57" s="22" t="str">
        <v>0603 0805 1206贴片电阻 10R 100R 1K 2K 4.7K 10K 100K 1M 欧 1%</v>
      </c>
      <c r="F57" s="22" t="str">
        <v>100R/100欧;0603 1%（100个）</v>
      </c>
      <c r="G57" s="24" t="n">
        <v>1</v>
      </c>
      <c r="H57" s="28" t="n">
        <v>1.46</v>
      </c>
      <c r="I57" s="21" t="str">
        <f>HYPERLINK("https://item.taobao.com/item.htm?id=947267344247","打开商品")</f>
        <v>打开商品</v>
      </c>
      <c r="J57" s="22" t="str">
        <v>0603WAF1000T5E</v>
      </c>
    </row>
    <row r="58" ht="64" customHeight="1">
      <c r="A58" s="3" t="n">
        <v>135</v>
      </c>
      <c r="B58" s="26" t="d">
        <v>2026-09-07T00:00:00.000Z</v>
      </c>
      <c r="C58" s="22" t="str">
        <v>交易成功</v>
      </c>
      <c r="D58" s="22" t="str">
        <v>深圳市永芯泰电子企业店</v>
      </c>
      <c r="E58" s="22" t="str">
        <v>0603 0805 1206贴片电阻 10R 100R 1K 2K 4.7K 10K 100K 1M 欧 1%</v>
      </c>
      <c r="F58" s="22" t="str">
        <v>20K;0603 1%（100个）</v>
      </c>
      <c r="G58" s="24" t="n">
        <v>1</v>
      </c>
      <c r="H58" s="28" t="n">
        <v>1.46</v>
      </c>
      <c r="I58" s="21" t="str">
        <f>HYPERLINK("https://item.taobao.com/item.htm?id=947267344247","打开商品")</f>
        <v>打开商品</v>
      </c>
      <c r="J58" s="22" t="str">
        <v>0603WAF2002T5E</v>
      </c>
    </row>
    <row r="59" ht="64" customHeight="1">
      <c r="A59" s="3" t="n">
        <v>136</v>
      </c>
      <c r="B59" s="26" t="d">
        <v>2026-09-07T00:00:00.000Z</v>
      </c>
      <c r="C59" s="22" t="str">
        <v>交易成功</v>
      </c>
      <c r="D59" s="22" t="str">
        <v>深圳市永芯泰电子企业店</v>
      </c>
      <c r="E59" s="22" t="str">
        <v>0603 0805 1206贴片电阻 10R 100R 1K 2K 4.7K 10K 100K 1M 欧 1%</v>
      </c>
      <c r="F59" s="22" t="str">
        <v>150R/150欧;0603 1%（100个）</v>
      </c>
      <c r="G59" s="24" t="n">
        <v>1</v>
      </c>
      <c r="H59" s="28" t="n">
        <v>1.46</v>
      </c>
      <c r="I59" s="21" t="str">
        <f>HYPERLINK("https://item.taobao.com/item.htm?id=947267344247","打开商品")</f>
        <v>打开商品</v>
      </c>
      <c r="J59" s="22" t="str">
        <v>旧 HAT R33 的150Ω电阻，当前采购用0Ω</v>
      </c>
    </row>
    <row r="60" ht="64" customHeight="1">
      <c r="A60" s="3" t="n">
        <v>137</v>
      </c>
      <c r="B60" s="26" t="d">
        <v>2026-09-07T00:00:00.000Z</v>
      </c>
      <c r="C60" s="22" t="str">
        <v>交易成功</v>
      </c>
      <c r="D60" s="22" t="str">
        <v>深圳市安芯选电子</v>
      </c>
      <c r="E60" s="22" t="str">
        <v>原装正品 LM5050MKX-1/NOPB SOT-23-6 OR-ing FET控制器芯片</v>
      </c>
      <c r="F60" s="22" t="str">
        <v>SOT-23;LM5050MKX-1/NOPB  原装正品</v>
      </c>
      <c r="G60" s="24" t="n">
        <v>5</v>
      </c>
      <c r="H60" s="28" t="n">
        <v>2.46</v>
      </c>
      <c r="I60" s="21" t="str">
        <f>HYPERLINK("https://item.taobao.com/item.htm?id=1013388982214","打开商品")</f>
        <v>打开商品</v>
      </c>
      <c r="J60" s="22" t="str">
        <v>LM5050MKX-1/NOPB</v>
      </c>
    </row>
    <row r="61" ht="64" customHeight="1">
      <c r="A61" s="3" t="n">
        <v>139</v>
      </c>
      <c r="B61" s="26" t="d">
        <v>2026-09-07T00:00:00.000Z</v>
      </c>
      <c r="C61" s="22" t="str">
        <v>交易成功</v>
      </c>
      <c r="D61" s="22" t="str">
        <v>信容芯旗舰店</v>
      </c>
      <c r="E61" s="22" t="str">
        <v>SH1.0mm间距立贴/卧贴2P3P4P5P6P7P8P9P10P12P贴片式插头转接头</v>
      </c>
      <c r="F61" s="22" t="str">
        <v>4P立贴（15个）</v>
      </c>
      <c r="G61" s="24" t="n">
        <v>1</v>
      </c>
      <c r="H61" s="28" t="n">
        <v>2.22</v>
      </c>
      <c r="I61" s="21" t="str">
        <f>HYPERLINK("https://item.taobao.com/item.htm?id=920058690376","打开商品")</f>
        <v>打开商品</v>
      </c>
      <c r="J61" s="22" t="str">
        <v>BM04B-SRSS-TB(LF)(SN)</v>
      </c>
    </row>
    <row r="62" ht="64" customHeight="1">
      <c r="A62" s="3" t="n">
        <v>140</v>
      </c>
      <c r="B62" s="26" t="d">
        <v>2026-09-07T00:00:00.000Z</v>
      </c>
      <c r="C62" s="22" t="str">
        <v>交易成功</v>
      </c>
      <c r="D62" s="22" t="str">
        <v>海雀数码专营店</v>
      </c>
      <c r="E62" s="22" t="str">
        <v>2.54MM 单排母 双排母 SMT贴片双排母 2/3/4/5/6/7/8/9/10/20-40P</v>
      </c>
      <c r="F62" s="22" t="str">
        <v>2*20P 贴片排母【2个】</v>
      </c>
      <c r="G62" s="24" t="n">
        <v>1</v>
      </c>
      <c r="H62" s="28" t="n">
        <v>4.07</v>
      </c>
      <c r="I62" s="21" t="str">
        <f>HYPERLINK("https://item.taobao.com/item.htm?id=533725557959","打开商品")</f>
        <v>打开商品</v>
      </c>
      <c r="J62" s="22" t="str">
        <v>FH-00339</v>
      </c>
    </row>
    <row r="63" ht="64" customHeight="1">
      <c r="A63" s="3" t="n">
        <v>141</v>
      </c>
      <c r="B63" s="26" t="d">
        <v>2026-09-07T00:00:00.000Z</v>
      </c>
      <c r="C63" s="22" t="str">
        <v>交易成功</v>
      </c>
      <c r="D63" s="22" t="str">
        <v>深圳市华源芯电子有限公司 电子元器件配单</v>
      </c>
      <c r="E63" s="22" t="str">
        <v>2718/3722/3729上进音降噪硅mini麦克风贴片SMD咪头模拟信号 MEMS</v>
      </c>
      <c r="F63" s="22" t="str">
        <v>2718 上进音 硅麦克风【2个】</v>
      </c>
      <c r="G63" s="24" t="n">
        <v>2</v>
      </c>
      <c r="H63" s="28" t="n">
        <v>1.98</v>
      </c>
      <c r="I63" s="21" t="str">
        <f>HYPERLINK("https://item.taobao.com/item.htm?id=996702312391","打开商品")</f>
        <v>打开商品</v>
      </c>
      <c r="J63" s="22" t="str">
        <v>LMA2718T421-OA5-2</v>
      </c>
    </row>
    <row r="64" ht="64" customHeight="1">
      <c r="A64" s="3" t="n">
        <v>142</v>
      </c>
      <c r="B64" s="26" t="d">
        <v>2026-09-07T00:00:00.000Z</v>
      </c>
      <c r="C64" s="22" t="str">
        <v>交易成功</v>
      </c>
      <c r="D64" s="22" t="str">
        <v>深圳市宏宸电子</v>
      </c>
      <c r="E64" s="22" t="str">
        <v>0603贴片高频电容 220p240p270p300p330p360p390p430pF NPO/COG</v>
      </c>
      <c r="F64" s="22" t="str">
        <v>0603 220pF ±5% NPO/COG;50V;100个</v>
      </c>
      <c r="G64" s="24" t="n">
        <v>1</v>
      </c>
      <c r="H64" s="28" t="n">
        <v>1.49</v>
      </c>
      <c r="I64" s="21" t="str">
        <f>HYPERLINK("https://item.taobao.com/item.htm?id=1005108810412","打开商品")</f>
        <v>打开商品</v>
      </c>
      <c r="J64" s="22" t="str">
        <v>0603CG221J500NT</v>
      </c>
    </row>
    <row r="65" ht="64" customHeight="1">
      <c r="A65" s="3" t="n">
        <v>143</v>
      </c>
      <c r="B65" s="26" t="d">
        <v>2026-09-07T00:00:00.000Z</v>
      </c>
      <c r="C65" s="22" t="str">
        <v>交易成功</v>
      </c>
      <c r="D65" s="22" t="str">
        <v>淼鑫电子科技</v>
      </c>
      <c r="E65" s="22" t="str">
        <v>全新原装 TLV320AIC3104IRHBR 丝印AC3104I VQFN-32 解码器芯片</v>
      </c>
      <c r="F65" s="22" t="str">
        <v>暂无</v>
      </c>
      <c r="G65" s="24" t="n">
        <v>5</v>
      </c>
      <c r="H65" s="28" t="n">
        <v>1.9</v>
      </c>
      <c r="I65" s="21" t="str">
        <f>HYPERLINK("https://item.taobao.com/item.htm?id=908248360601","打开商品")</f>
        <v>打开商品</v>
      </c>
      <c r="J65" s="22" t="str">
        <v>TLV320AIC3104IRHBR</v>
      </c>
    </row>
    <row r="66" ht="64" customHeight="1">
      <c r="A66" s="3" t="n">
        <v>144</v>
      </c>
      <c r="B66" s="26" t="d">
        <v>2026-09-07T00:00:00.000Z</v>
      </c>
      <c r="C66" s="22" t="str">
        <v>交易成功</v>
      </c>
      <c r="D66" s="22" t="str">
        <v>深圳市豪芯微电子 只做原装</v>
      </c>
      <c r="E66" s="22" t="str">
        <v>原装正品 SN74LVC1G08DBVR 逻辑芯片 封装SOT23-5   SN74LVC1G08</v>
      </c>
      <c r="F66" s="22" t="str">
        <v>暂无</v>
      </c>
      <c r="G66" s="24" t="n">
        <v>5</v>
      </c>
      <c r="H66" s="28" t="n">
        <v>1.98</v>
      </c>
      <c r="I66" s="21" t="str">
        <f>HYPERLINK("https://item.taobao.com/item.htm?id=708737648760","打开商品")</f>
        <v>打开商品</v>
      </c>
      <c r="J66" s="22" t="str">
        <v>同款或历史购买记录</v>
      </c>
    </row>
    <row r="67" ht="64" customHeight="1">
      <c r="A67" s="3" t="n">
        <v>147</v>
      </c>
      <c r="B67" s="26" t="d">
        <v>2026-09-04T00:00:00.000Z</v>
      </c>
      <c r="C67" s="22" t="str">
        <v>交易成功</v>
      </c>
      <c r="D67" s="22" t="str">
        <v>深圳市RTC电子</v>
      </c>
      <c r="E67" s="22" t="str">
        <v>LSM6DSLTR LSM6DSOTR LSM6DSRTR LSM6DS3TR-C LSM6DSV16XTR LGA14</v>
      </c>
      <c r="F67" s="22" t="str">
        <v>LSM6DSV16XTR</v>
      </c>
      <c r="G67" s="24" t="n">
        <v>1</v>
      </c>
      <c r="H67" s="28" t="n">
        <v>5.5</v>
      </c>
      <c r="I67" s="21" t="str">
        <f>HYPERLINK("https://item.taobao.com/item.htm?id=640391703111","打开商品")</f>
        <v>打开商品</v>
      </c>
      <c r="J67" s="22" t="str">
        <v>同款或历史购买记录</v>
      </c>
    </row>
    <row r="68" ht="64" customHeight="1">
      <c r="A68" s="3" t="n">
        <v>148</v>
      </c>
      <c r="B68" s="26" t="d">
        <v>2026-09-04T00:00:00.000Z</v>
      </c>
      <c r="C68" s="22" t="str">
        <v>交易成功</v>
      </c>
      <c r="D68" s="22" t="str">
        <v>深圳市RTC电子</v>
      </c>
      <c r="E68" s="22" t="str">
        <v>全新原装 LSM6DSV16XTR 丝印S6 姿态传感器芯片IC 贴片 LGA-14</v>
      </c>
      <c r="F68" s="22" t="str">
        <v>LSM6DSV16XTR</v>
      </c>
      <c r="G68" s="24" t="n">
        <v>1</v>
      </c>
      <c r="H68" s="28" t="n">
        <v>5.5</v>
      </c>
      <c r="I68" s="21" t="str">
        <f>HYPERLINK("https://item.taobao.com/item.htm?id=1062189210190","打开商品")</f>
        <v>打开商品</v>
      </c>
      <c r="J68" s="22" t="str">
        <v>同款或历史购买记录</v>
      </c>
    </row>
    <row r="69" ht="64" customHeight="1">
      <c r="A69" s="3" t="n">
        <v>149</v>
      </c>
      <c r="B69" s="26" t="d">
        <v>2026-09-04T00:00:00.000Z</v>
      </c>
      <c r="C69" s="22" t="str">
        <v>交易成功</v>
      </c>
      <c r="D69" s="22" t="str">
        <v>深圳市新纶电子</v>
      </c>
      <c r="E69" s="22" t="str">
        <v>原装LSM6DSV16XTR LGA-14 6DoF惯性测量3D加速度陀螺仪传感器芯片</v>
      </c>
      <c r="F69" s="22" t="str">
        <v>LSM6DSV16XTR</v>
      </c>
      <c r="G69" s="24" t="n">
        <v>1</v>
      </c>
      <c r="H69" s="28" t="n">
        <v>10.65</v>
      </c>
      <c r="I69" s="21" t="str">
        <f>HYPERLINK("https://item.taobao.com/item.htm?id=1028742717053","打开商品")</f>
        <v>打开商品</v>
      </c>
      <c r="J69" s="22" t="str">
        <v>同款或历史购买记录</v>
      </c>
    </row>
    <row r="70" ht="64" customHeight="1">
      <c r="A70" s="3" t="n">
        <v>150</v>
      </c>
      <c r="B70" s="26" t="d">
        <v>2026-09-04T00:00:00.000Z</v>
      </c>
      <c r="C70" s="22" t="str">
        <v>交易成功</v>
      </c>
      <c r="D70" s="22" t="str">
        <v>深圳市新纶电子</v>
      </c>
      <c r="E70" s="22" t="str">
        <v>原装 STM32G031F8P6 TSSOP-20 ARM Cortex-M0+ 32位微控制器-MCU</v>
      </c>
      <c r="F70" s="22" t="str">
        <v>全新原装</v>
      </c>
      <c r="G70" s="24" t="n">
        <v>5</v>
      </c>
      <c r="H70" s="28" t="n">
        <v>4.83</v>
      </c>
      <c r="I70" s="21" t="str">
        <f>HYPERLINK("https://item.taobao.com/item.htm?id=726808419708","打开商品")</f>
        <v>打开商品</v>
      </c>
      <c r="J70" s="22" t="str">
        <v>STM32G031F8P6</v>
      </c>
    </row>
    <row r="71" ht="64" customHeight="1">
      <c r="A71" s="3" t="n">
        <v>151</v>
      </c>
      <c r="B71" s="26" t="d">
        <v>2026-09-04T00:00:00.000Z</v>
      </c>
      <c r="C71" s="22" t="str">
        <v>交易成功</v>
      </c>
      <c r="D71" s="22" t="str">
        <v>安佑卓旗舰店</v>
      </c>
      <c r="E71" s="22" t="str">
        <v>5264直针座2.5mm间距2 3 4 5 6 7 8 9 10 11 12P插座连接器接插件</v>
      </c>
      <c r="F71" s="22" t="str">
        <v>（50个）直针座5264-3P</v>
      </c>
      <c r="G71" s="24" t="n">
        <v>1</v>
      </c>
      <c r="H71" s="28" t="n">
        <v>2.3</v>
      </c>
      <c r="I71" s="21" t="str">
        <f>HYPERLINK("https://item.taobao.com/item.htm?id=602152415662","打开商品")</f>
        <v>打开商品</v>
      </c>
      <c r="J71" s="22" t="str">
        <v>其他接口体系，按对应连接方案使用</v>
      </c>
    </row>
    <row r="72" ht="64" customHeight="1">
      <c r="A72" s="3" t="n">
        <v>152</v>
      </c>
      <c r="B72" s="26" t="d">
        <v>2026-09-04T00:00:00.000Z</v>
      </c>
      <c r="C72" s="22" t="str">
        <v>交易成功</v>
      </c>
      <c r="D72" s="22" t="str">
        <v>zxin旗舰店</v>
      </c>
      <c r="E72" s="22" t="str">
        <v>2.54mm 单排排针 1*2P/3/4/5/6/7/8/9/10/11/12/40P 针总长11.3mm</v>
      </c>
      <c r="F72" s="22" t="str">
        <v>1*5P直针 铜（30条）</v>
      </c>
      <c r="G72" s="24" t="n">
        <v>1</v>
      </c>
      <c r="H72" s="28" t="n">
        <v>1.41</v>
      </c>
      <c r="I72" s="21" t="str">
        <f>HYPERLINK("https://item.taobao.com/item.htm?id=606816197525","打开商品")</f>
        <v>打开商品</v>
      </c>
      <c r="J72" s="22" t="str">
        <v>PZ254V-11-05P</v>
      </c>
    </row>
    <row r="73" ht="64" customHeight="1">
      <c r="A73" s="3" t="n">
        <v>153</v>
      </c>
      <c r="B73" s="26" t="d">
        <v>2026-09-04T00:00:00.000Z</v>
      </c>
      <c r="C73" s="22" t="str">
        <v>交易成功</v>
      </c>
      <c r="D73" s="22" t="str">
        <v>深圳市宏宸电子</v>
      </c>
      <c r="E73" s="22" t="str">
        <v>0805贴片电容 1U1.5U2.2U3.3U4.7U6.8U10UF15UF22U33U47U68U100UF</v>
      </c>
      <c r="F73" s="22" t="str">
        <v>0805 4.7UF ±10% X7R;25V</v>
      </c>
      <c r="G73" s="24" t="n">
        <v>100</v>
      </c>
      <c r="H73" s="28" t="n">
        <v>0.06</v>
      </c>
      <c r="I73" s="21" t="str">
        <f>HYPERLINK("https://item.taobao.com/item.htm?id=977236759812","打开商品")</f>
        <v>打开商品</v>
      </c>
      <c r="J73" s="22" t="str">
        <v>CL21A475KAQNNNE</v>
      </c>
    </row>
    <row r="74" ht="64" customHeight="1">
      <c r="A74" s="3" t="n">
        <v>154</v>
      </c>
      <c r="B74" s="26" t="d">
        <v>2026-09-04T00:00:00.000Z</v>
      </c>
      <c r="C74" s="22" t="str">
        <v>交易成功</v>
      </c>
      <c r="D74" s="22" t="str">
        <v>zazr旗舰店</v>
      </c>
      <c r="E74" s="22" t="str">
        <v>ST-LINK V2 STM8/STM32仿真器编程stlink下载器线烧录调试单片机</v>
      </c>
      <c r="F74" s="22" t="str">
        <v>ST-LINK V2 仿真器 进口芯片软件可升级版本（颜色随机发）1个</v>
      </c>
      <c r="G74" s="24" t="n">
        <v>1</v>
      </c>
      <c r="H74" s="28" t="n">
        <v>9.84</v>
      </c>
      <c r="I74" s="21" t="str">
        <f>HYPERLINK("https://item.taobao.com/item.htm?id=581798084270","打开商品")</f>
        <v>打开商品</v>
      </c>
      <c r="J74" s="22" t="str">
        <v>ST-LINK V2</v>
      </c>
    </row>
    <row r="75" ht="64" customHeight="1">
      <c r="A75" s="3" t="n">
        <v>155</v>
      </c>
      <c r="B75" s="26" t="d">
        <v>2026-09-04T00:00:00.000Z</v>
      </c>
      <c r="C75" s="22" t="str">
        <v>交易成功</v>
      </c>
      <c r="D75" s="22" t="str">
        <v>深圳市永芯泰电子企业店</v>
      </c>
      <c r="E75" s="22" t="str">
        <v>0603 0805 1206贴片电阻 10R 100R 1K 2K 4.7K 10K 100K 1M 欧 1%</v>
      </c>
      <c r="F75" s="22" t="str">
        <v>0R/0欧;0603 1%（100个）</v>
      </c>
      <c r="G75" s="24" t="n">
        <v>1</v>
      </c>
      <c r="H75" s="28" t="n">
        <v>1.46</v>
      </c>
      <c r="I75" s="21" t="str">
        <f>HYPERLINK("https://item.taobao.com/item.htm?id=947267344247","打开商品")</f>
        <v>打开商品</v>
      </c>
      <c r="J75" s="22" t="str">
        <v>0603WAF0000T5E</v>
      </c>
    </row>
    <row r="76" ht="64" customHeight="1">
      <c r="A76" s="3" t="n">
        <v>156</v>
      </c>
      <c r="B76" s="26" t="d">
        <v>2026-09-04T00:00:00.000Z</v>
      </c>
      <c r="C76" s="22" t="str">
        <v>交易成功</v>
      </c>
      <c r="D76" s="22" t="str">
        <v>深圳市永芯泰电子企业店</v>
      </c>
      <c r="E76" s="22" t="str">
        <v>0603 0805 1206贴片电阻 10R 100R 1K 2K 4.7K 10K 100K 1M 欧 1%</v>
      </c>
      <c r="F76" s="22" t="str">
        <v>10K;0603 1%（100个）</v>
      </c>
      <c r="G76" s="24" t="n">
        <v>1</v>
      </c>
      <c r="H76" s="28" t="n">
        <v>1.42</v>
      </c>
      <c r="I76" s="21" t="str">
        <f>HYPERLINK("https://item.taobao.com/item.htm?id=947267344247","打开商品")</f>
        <v>打开商品</v>
      </c>
      <c r="J76" s="22" t="str">
        <v>同款或历史购买记录</v>
      </c>
    </row>
    <row r="77" ht="64" customHeight="1">
      <c r="A77" s="3" t="n">
        <v>157</v>
      </c>
      <c r="B77" s="26" t="d">
        <v>2026-09-04T00:00:00.000Z</v>
      </c>
      <c r="C77" s="22" t="str">
        <v>交易成功</v>
      </c>
      <c r="D77" s="22" t="str">
        <v>深圳市永芯泰电子企业店</v>
      </c>
      <c r="E77" s="22" t="str">
        <v>0603 0805 1206贴片电阻 10R 100R 1K 2K 4.7K 10K 100K 1M 欧 1%</v>
      </c>
      <c r="F77" s="22" t="str">
        <v>33R/33欧;0603 1%（100个）</v>
      </c>
      <c r="G77" s="24" t="n">
        <v>1</v>
      </c>
      <c r="H77" s="28" t="n">
        <v>1.46</v>
      </c>
      <c r="I77" s="21" t="str">
        <f>HYPERLINK("https://item.taobao.com/item.htm?id=947267344247","打开商品")</f>
        <v>打开商品</v>
      </c>
      <c r="J77" s="22" t="str">
        <v>0603WAF330JT5E</v>
      </c>
    </row>
    <row r="78" ht="64" customHeight="1">
      <c r="A78" s="3" t="n">
        <v>158</v>
      </c>
      <c r="B78" s="26" t="d">
        <v>2026-09-04T00:00:00.000Z</v>
      </c>
      <c r="C78" s="22" t="str">
        <v>交易成功</v>
      </c>
      <c r="D78" s="22" t="str">
        <v>泰辰电子</v>
      </c>
      <c r="E78" s="22" t="str">
        <v>0402 0603 0805 1206贴片LED发光二极管 红黄冰蓝翠绿白橙粉紫色</v>
      </c>
      <c r="F78" s="22" t="str">
        <v>0603 蓝色=100个</v>
      </c>
      <c r="G78" s="24" t="n">
        <v>1</v>
      </c>
      <c r="H78" s="28" t="n">
        <v>1.8</v>
      </c>
      <c r="I78" s="21" t="str">
        <f>HYPERLINK("https://item.taobao.com/item.htm?id=1025817117811","打开商品")</f>
        <v>打开商品</v>
      </c>
      <c r="J78" s="22" t="str">
        <v>19-217/GHC-YR1S2/3T</v>
      </c>
    </row>
    <row r="79" ht="64" customHeight="1">
      <c r="A79" s="3" t="n">
        <v>159</v>
      </c>
      <c r="B79" s="26" t="d">
        <v>2026-09-04T00:00:00.000Z</v>
      </c>
      <c r="C79" s="22" t="str">
        <v>交易成功</v>
      </c>
      <c r="D79" s="22" t="str">
        <v>泰辰电子</v>
      </c>
      <c r="E79" s="22" t="str">
        <v>0402 0603 0805 1206贴片LED发光二极管 红黄冰蓝翠绿白橙粉紫色</v>
      </c>
      <c r="F79" s="22" t="str">
        <v>0603红色=100个</v>
      </c>
      <c r="G79" s="24" t="n">
        <v>1</v>
      </c>
      <c r="H79" s="28" t="n">
        <v>1.8</v>
      </c>
      <c r="I79" s="21" t="str">
        <f>HYPERLINK("https://item.taobao.com/item.htm?id=1025817117811","打开商品")</f>
        <v>打开商品</v>
      </c>
      <c r="J79" s="22" t="str">
        <v>同款或历史购买记录</v>
      </c>
    </row>
    <row r="80" ht="64" customHeight="1">
      <c r="A80" s="3" t="n">
        <v>160</v>
      </c>
      <c r="B80" s="26" t="d">
        <v>2026-09-04T00:00:00.000Z</v>
      </c>
      <c r="C80" s="22" t="str">
        <v>交易成功</v>
      </c>
      <c r="D80" s="22" t="str">
        <v>深圳市优信电子科技有限公司</v>
      </c>
      <c r="E80" s="22" t="str">
        <v>原装正品 PESD5V0S1BA SOD-323 双向ESD静电防护二极管</v>
      </c>
      <c r="F80" s="22" t="str">
        <v>暂无</v>
      </c>
      <c r="G80" s="24" t="n">
        <v>50</v>
      </c>
      <c r="H80" s="28" t="n">
        <v>0.06</v>
      </c>
      <c r="I80" s="21" t="str">
        <f>HYPERLINK("https://item.taobao.com/item.htm?id=891785167202","打开商品")</f>
        <v>打开商品</v>
      </c>
      <c r="J80" s="22" t="str">
        <v>PESD5V0S1BA</v>
      </c>
    </row>
    <row r="81" ht="64" customHeight="1">
      <c r="A81" s="3" t="n">
        <v>161</v>
      </c>
      <c r="B81" s="26" t="d">
        <v>2026-09-04T00:00:00.000Z</v>
      </c>
      <c r="C81" s="22" t="str">
        <v>交易成功</v>
      </c>
      <c r="D81" s="22" t="str">
        <v>深圳市垚鑫电子科技</v>
      </c>
      <c r="E81" s="22" t="str">
        <v>原装正品 SN74LVC2G125DCUR VSSOP-8 三态输出双总线缓冲器闸芯片</v>
      </c>
      <c r="F81" s="22" t="str">
        <v>暂无</v>
      </c>
      <c r="G81" s="24" t="n">
        <v>10</v>
      </c>
      <c r="H81" s="28" t="n">
        <v>0.43</v>
      </c>
      <c r="I81" s="21" t="str">
        <f>HYPERLINK("https://item.taobao.com/item.htm?id=705642638300","打开商品")</f>
        <v>打开商品</v>
      </c>
      <c r="J81" s="22" t="str">
        <v>SN74LVC2G125DCUR</v>
      </c>
    </row>
    <row r="82" ht="64" customHeight="1">
      <c r="A82" s="3" t="n">
        <v>162</v>
      </c>
      <c r="B82" s="26" t="d">
        <v>2026-09-04T00:00:00.000Z</v>
      </c>
      <c r="C82" s="22" t="str">
        <v>交易成功</v>
      </c>
      <c r="D82" s="22" t="str">
        <v>深圳市恒芯科创电子</v>
      </c>
      <c r="E82" s="22" t="str">
        <v>原装正品 TLV70433DBVR SOT-23-5 低压降稳压器(LDO)芯片</v>
      </c>
      <c r="F82" s="22" t="str">
        <v>TLV70433DBVR</v>
      </c>
      <c r="G82" s="24" t="n">
        <v>10</v>
      </c>
      <c r="H82" s="28" t="n">
        <v>0.47</v>
      </c>
      <c r="I82" s="21" t="str">
        <f>HYPERLINK("https://item.taobao.com/item.htm?id=747094785928","打开商品")</f>
        <v>打开商品</v>
      </c>
      <c r="J82" s="22" t="str">
        <v>TLV70433DBVR</v>
      </c>
    </row>
    <row r="83" ht="64" customHeight="1">
      <c r="A83" s="3" t="n">
        <v>178</v>
      </c>
      <c r="B83" s="26" t="d">
        <v>2026-09-01T00:00:00.000Z</v>
      </c>
      <c r="C83" s="22" t="str">
        <v>交易成功</v>
      </c>
      <c r="D83" s="22" t="str">
        <v>深圳市优信电子科技有限公司</v>
      </c>
      <c r="E83" s="22" t="str">
        <v>原装LSM6DSV16XTR LGA-14 6DoF惯性测量3D加速度陀螺仪传感器芯片</v>
      </c>
      <c r="F83" s="22" t="str">
        <v>暂无</v>
      </c>
      <c r="G83" s="24" t="n">
        <v>1</v>
      </c>
      <c r="H83" s="28" t="n">
        <v>21.17</v>
      </c>
      <c r="I83" s="21" t="str">
        <f>HYPERLINK("https://item.taobao.com/item.htm?id=1027587805193","打开商品")</f>
        <v>打开商品</v>
      </c>
      <c r="J83" s="22" t="str">
        <v>同款或历史购买记录</v>
      </c>
    </row>
    <row r="84" ht="64" customHeight="1">
      <c r="A84" s="3" t="n">
        <v>196</v>
      </c>
      <c r="B84" s="26" t="d">
        <v>2026-08-24T00:00:00.000Z</v>
      </c>
      <c r="C84" s="22" t="str">
        <v>交易成功</v>
      </c>
      <c r="D84" s="22" t="str">
        <v>深圳市宏宸电子</v>
      </c>
      <c r="E84" s="22" t="str">
        <v>0603/1608贴片电容 1u1.5u2.2u3.3u4.7u6.8u10u15u22u33u47uF</v>
      </c>
      <c r="F84" s="22" t="str">
        <v>0603 1uF ±10% X7R;50V</v>
      </c>
      <c r="G84" s="24" t="n">
        <v>50</v>
      </c>
      <c r="H84" s="28" t="n">
        <v>0.03</v>
      </c>
      <c r="I84" s="21" t="str">
        <f>HYPERLINK("https://item.taobao.com/item.htm?id=630712731066","打开商品")</f>
        <v>打开商品</v>
      </c>
      <c r="J84" s="22" t="str">
        <v>同款或历史购买记录</v>
      </c>
    </row>
    <row r="85" ht="64" customHeight="1">
      <c r="A85" s="3" t="n">
        <v>203</v>
      </c>
      <c r="B85" s="26" t="d">
        <v>2026-08-24T00:00:00.000Z</v>
      </c>
      <c r="C85" s="22" t="str">
        <v>交易成功</v>
      </c>
      <c r="D85" s="22" t="str">
        <v>深圳市远大芯程科技</v>
      </c>
      <c r="E85" s="22" t="str">
        <v>全新原装正品 AP63205WU-7 封装TSOT-26 丝印T5 DC-DC电源芯片</v>
      </c>
      <c r="F85" s="22" t="str">
        <v>AP63205WU-7</v>
      </c>
      <c r="G85" s="24" t="n">
        <v>5</v>
      </c>
      <c r="H85" s="28" t="n">
        <v>1.28</v>
      </c>
      <c r="I85" s="21" t="str">
        <f>HYPERLINK("https://item.taobao.com/item.htm?id=969642590399","打开商品")</f>
        <v>打开商品</v>
      </c>
      <c r="J85" s="22" t="str">
        <v>AP63205WU-7</v>
      </c>
    </row>
    <row r="86" ht="64" customHeight="1">
      <c r="A86" s="3" t="n">
        <v>205</v>
      </c>
      <c r="B86" s="26" t="d">
        <v>2026-08-24T00:00:00.000Z</v>
      </c>
      <c r="C86" s="22" t="str">
        <v>交易成功</v>
      </c>
      <c r="D86" s="22" t="str">
        <v>深圳市宏宸电子</v>
      </c>
      <c r="E86" s="22" t="str">
        <v>0603/1608贴片电容 100n120n150n180n220n270nF 104 154 224 274K</v>
      </c>
      <c r="F86" s="22" t="str">
        <v>0603 100nF ±10% X7R;50V;100个</v>
      </c>
      <c r="G86" s="24" t="n">
        <v>1</v>
      </c>
      <c r="H86" s="28" t="n">
        <v>1.98</v>
      </c>
      <c r="I86" s="21" t="str">
        <f>HYPERLINK("https://item.taobao.com/item.htm?id=731471380840","打开商品")</f>
        <v>打开商品</v>
      </c>
      <c r="J86" s="22" t="str">
        <v>同款或历史购买记录</v>
      </c>
    </row>
    <row r="87" ht="64" customHeight="1">
      <c r="A87" s="3" t="n">
        <v>206</v>
      </c>
      <c r="B87" s="26" t="d">
        <v>2026-08-24T00:00:00.000Z</v>
      </c>
      <c r="C87" s="22" t="str">
        <v>交易成功</v>
      </c>
      <c r="D87" s="22" t="str">
        <v>深圳市宏宸电子</v>
      </c>
      <c r="E87" s="22" t="str">
        <v>1206贴片电容 1UF2.2U3.3U4.7U6.8U10U15U22U33U47U68U100UF220UF</v>
      </c>
      <c r="F87" s="22" t="str">
        <v>1206 10UF ±10% X7R;35V</v>
      </c>
      <c r="G87" s="24" t="n">
        <v>10</v>
      </c>
      <c r="H87" s="28" t="n">
        <v>0.12</v>
      </c>
      <c r="I87" s="21" t="str">
        <f>HYPERLINK("https://item.taobao.com/item.htm?id=730407108775","打开商品")</f>
        <v>打开商品</v>
      </c>
      <c r="J87" s="22" t="str">
        <v>C3216X7R1V106KT000E</v>
      </c>
    </row>
    <row r="88" ht="64" customHeight="1">
      <c r="A88" s="3" t="n">
        <v>209</v>
      </c>
      <c r="B88" s="26" t="d">
        <v>2026-08-22T00:00:00.000Z</v>
      </c>
      <c r="C88" s="22" t="str">
        <v>交易关闭</v>
      </c>
      <c r="D88" s="22" t="str">
        <v>汉邦电子</v>
      </c>
      <c r="E88" s="22" t="str">
        <v>擎威恒温加热台智能定时可调温加热板回流焊接实验室手机拆屏焊台</v>
      </c>
      <c r="F88" s="22" t="str">
        <v>【150*100mm】智能定时/3组温度预设</v>
      </c>
      <c r="G88" s="24" t="n">
        <v>1</v>
      </c>
      <c r="H88" s="28" t="n">
        <v>169</v>
      </c>
      <c r="I88" s="21" t="str">
        <f>HYPERLINK("https://item.taobao.com/item.htm?id=956985590887","打开商品")</f>
        <v>打开商品</v>
      </c>
      <c r="J88" s="22" t="str">
        <v>恒温加热台</v>
      </c>
    </row>
    <row r="89" ht="64" customHeight="1">
      <c r="A89" s="3" t="n">
        <v>213</v>
      </c>
      <c r="B89" s="26" t="d">
        <v>2026-08-20T00:00:00.000Z</v>
      </c>
      <c r="C89" s="22" t="str">
        <v>交易成功</v>
      </c>
      <c r="D89" s="22" t="str">
        <v>深圳市永芯泰电子企业店</v>
      </c>
      <c r="E89" s="22" t="str">
        <v>0603 0805 1206贴片电阻 10R 100R 1K 2K 4.7K 10K 100K 1M 欧 1%</v>
      </c>
      <c r="F89" s="22" t="str">
        <v>1K;0603 1%（100个）</v>
      </c>
      <c r="G89" s="24" t="n">
        <v>1</v>
      </c>
      <c r="H89" s="28" t="n">
        <v>1.44</v>
      </c>
      <c r="I89" s="21" t="str">
        <f>HYPERLINK("https://item.taobao.com/item.htm?id=947267344247","打开商品")</f>
        <v>打开商品</v>
      </c>
      <c r="J89" s="22" t="str">
        <v>0603WAF1001T5E</v>
      </c>
    </row>
    <row r="90" ht="64" customHeight="1">
      <c r="A90" s="3" t="n">
        <v>220</v>
      </c>
      <c r="B90" s="26" t="d">
        <v>2026-08-19T00:00:00.000Z</v>
      </c>
      <c r="C90" s="22" t="str">
        <v>交易成功</v>
      </c>
      <c r="D90" s="22" t="str">
        <v>YGTCTECH永冠同创</v>
      </c>
      <c r="E90" s="22" t="str">
        <v>BGA手机维修焊接助焊膏焊油焊剂无铅无卤助焊剂免洗焊锡膏针筒装</v>
      </c>
      <c r="F90" s="22" t="str">
        <v>YG-336环保无铅BGA针筒助焊膏10g</v>
      </c>
      <c r="G90" s="24" t="n">
        <v>1</v>
      </c>
      <c r="H90" s="28" t="n">
        <v>3.28</v>
      </c>
      <c r="I90" s="21" t="str">
        <f>HYPERLINK("https://item.taobao.com/item.htm?id=744370287305","打开商品")</f>
        <v>打开商品</v>
      </c>
      <c r="J90" s="22" t="str">
        <v>助焊膏</v>
      </c>
    </row>
  </sheetData>
  <pageMargins left="0.7" right="0.7" top="0.75" bottom="0.75" header="0.3" footer="0.3"/>
  <tableParts count="1">
    <tablePart r:id="R0746ab6b080b4320"/>
  </tableParts>
</worksheet>
</file>